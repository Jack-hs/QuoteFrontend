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<sst xmlns="http://schemas.openxmlformats.org/spreadsheetml/2006/main" count="91" uniqueCount="91">
  <si>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</si>
  <si>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</si>
  <si>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</si>
  <si>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</si>
  <si>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</si>
  <si>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</si>
  <si>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</si>
  <si>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</si>
  <si>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</si>
  <si>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</si>
  <si>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</si>
  <si>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</si>
  <si>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</si>
  <si>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</si>
  <si>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</si>
  <si>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</si>
  <si>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</si>
  <si>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</si>
  <si>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</si>
  <si>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</si>
  <si>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</si>
  <si>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</si>
  <si>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</si>
  <si>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</si>
  <si>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</si>
  <si>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</si>
  <si>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</si>
  <si>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</si>
  <si>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</si>
  <si>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</si>
  <si>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</si>
  <si>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</si>
  <si>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</si>
  <si>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</si>
  <si>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</si>
  <si>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</si>
  <si>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</si>
  <si>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</si>
  <si>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</si>
  <si>
    <t>當地雜費項目</t>
  </si>
  <si>
    <t>金額(披索)</t>
  </si>
  <si>
    <t>SSP學生簽證</t>
  </si>
  <si>
    <t>菲律賓學生就讀許可證</t>
  </si>
  <si>
    <t>1次</t>
  </si>
  <si>
    <t>效期6個月</t>
  </si>
  <si>
    <t>SSP E-CARD</t>
  </si>
  <si>
    <t>-</t>
  </si>
  <si>
    <t>學生證ID+拍照</t>
  </si>
  <si>
    <t>水費</t>
  </si>
  <si>
    <t>依學校規定</t>
  </si>
  <si>
    <t>電費</t>
  </si>
  <si>
    <t>先繳給學校這個費用，若每週用電超過16度，則每度額外加收25披索</t>
  </si>
  <si>
    <t>宿舍押金</t>
  </si>
  <si>
    <t>如無損壞物品會退還</t>
  </si>
  <si>
    <t>管理費</t>
  </si>
  <si>
    <t>接機費</t>
  </si>
  <si>
    <t>團體接機</t>
  </si>
  <si>
    <t>簽證延簽費</t>
  </si>
  <si>
    <t>入境菲律賓超過59天者</t>
  </si>
  <si>
    <t>ACR I-CARD</t>
  </si>
  <si>
    <t>洗衣費</t>
  </si>
  <si>
    <t>150P/5kg</t>
  </si>
  <si>
    <t>預估(一週送洗兩次)</t>
  </si>
  <si>
    <t>教材費</t>
  </si>
  <si>
    <t>依學校課程規定</t>
  </si>
  <si>
    <t>預估</t>
  </si>
  <si>
    <t>以上費用實際以學校收取為主</t>
  </si>
  <si>
    <t>披索合計</t>
  </si>
  <si>
    <t>披索：台幣＝1：0.6(報價當日匯率)</t>
  </si>
  <si>
    <t>披索換算</t>
  </si>
  <si>
    <t>0.6</t>
  </si>
  <si>
    <t>機票簽證費用</t>
  </si>
  <si>
    <t>金額(台幣)</t>
  </si>
  <si>
    <t>來回機票 (台北-宿霧)</t>
  </si>
  <si>
    <t>NT $6,000~20,000不等</t>
  </si>
  <si>
    <t>可依航班調整</t>
  </si>
  <si>
    <t>簽證費 (9A旅遊簽)</t>
  </si>
  <si>
    <t>紙本NT$1,200/電子NT$1,500</t>
  </si>
  <si>
    <t>紙本</t>
  </si>
  <si>
    <t>線上/紙本申請</t>
  </si>
  <si>
    <t>旅平險/醫療險</t>
  </si>
  <si>
    <t>依各保險公司定價</t>
  </si>
  <si>
    <t>建議投保3個月</t>
  </si>
  <si>
    <t>以上費用為預估費用，可請我們代訂代辦也可自行處理</t>
  </si>
  <si>
    <t>台幣合計</t>
  </si>
  <si>
    <t>總金額</t>
  </si>
  <si>
    <t>報價須知 :</t>
  </si>
  <si>
    <t>1.本報價提供之相關費用，於學校調整前皆有效力，如有調整則依更改後規定辦理。</t>
  </si>
  <si>
    <r>
      <rPr>
        <rFont val="微軟正黑體"/>
        <b/>
        <color rgb="FF000000"/>
        <sz val="11"/>
      </rPr>
      <t>2.實際繳款台幣時以富</t>
    </r>
    <r>
      <rPr>
        <rFont val="微軟正黑體"/>
        <family val="2"/>
        <b/>
        <color rgb="FFFF0000"/>
        <sz val="11"/>
      </rPr>
      <t>邦銀行『匯款當日』即期賣出匯率進</t>
    </r>
    <r>
      <rPr>
        <rFont val="微軟正黑體"/>
        <family val="2"/>
        <b/>
        <color rgb="FF000000"/>
        <sz val="11"/>
      </rPr>
      <t>行換算，亦</t>
    </r>
    <r>
      <rPr>
        <rFont val="微軟正黑體"/>
        <family val="2"/>
        <b/>
        <color rgb="FFFF0000"/>
        <sz val="11"/>
      </rPr>
      <t>可繳交美金，</t>
    </r>
  </si>
  <si>
    <r>
      <rPr>
        <rFont val="微軟正黑體"/>
        <b/>
        <color rgb="FF000000"/>
        <sz val="11"/>
      </rPr>
      <t>3.報名繳交訂</t>
    </r>
    <r>
      <rPr>
        <rFont val="微軟正黑體"/>
        <family val="2"/>
        <b/>
        <color rgb="FFFF0000"/>
        <sz val="11"/>
      </rPr>
      <t>金NT$10,000/人，皆不退還。</t>
    </r>
  </si>
  <si>
    <t>4.學校依菲律賓國定假日放假，不提供補課及退款。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</si>
</sst>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695325</xdr:colOff>
      <xdr:row>40</xdr:row>
      <xdr:rowOff>47625</xdr:rowOff>
    </xdr:from>
    <xdr:to>
      <xdr:col>8</xdr:col>
      <xdr:colOff>1714500</xdr:colOff>
      <xdr:row>41</xdr:row>
      <xdr:rowOff>142875</xdr:rowOff>
    </xdr:to>
    <xdr:sp macro="" textlink="">
      <xdr:nvSpPr>
        <xdr:cNvPr id="5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 algn="ctr"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到當地用披索繳給學校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 t="s">
        <v>34</v>
      </c>
      <c r="B24" s="20"/>
      <c r="C24" s="20"/>
      <c r="D24" s="20" t="s">
        <v>35</v>
      </c>
      <c r="E24" s="20"/>
      <c r="F24" s="20"/>
      <c r="G24" s="20">
        <f>sum(G20:G23)</f>
      </c>
      <c r="H24" s="20"/>
      <c r="I24" s="21"/>
    </row>
    <row r="25" ht="20.25" customHeight="1">
      <c r="A25" s="19" t="s">
        <v>36</v>
      </c>
      <c r="B25" s="20"/>
      <c r="C25" s="20"/>
      <c r="D25" s="20" t="s">
        <v>37</v>
      </c>
      <c r="E25" s="20"/>
      <c r="F25" s="20"/>
      <c r="G25" s="20">
        <f>sum(G24*J25)</f>
      </c>
      <c r="H25" s="20"/>
      <c r="I25" s="21"/>
      <c r="J25" s="0" t="s">
        <v>38</v>
      </c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45" t="s">
        <v>39</v>
      </c>
      <c r="B27" s="46" t="s">
        <v>17</v>
      </c>
      <c r="C27" s="20"/>
      <c r="D27" s="46" t="s">
        <v>18</v>
      </c>
      <c r="E27" s="46" t="s">
        <v>19</v>
      </c>
      <c r="F27" s="46" t="s">
        <v>20</v>
      </c>
      <c r="G27" s="46" t="s">
        <v>40</v>
      </c>
      <c r="H27" s="20"/>
      <c r="I27" s="47" t="s">
        <v>22</v>
      </c>
    </row>
    <row r="28" ht="15.75" customHeight="1">
      <c r="A28" s="19" t="s">
        <v>41</v>
      </c>
      <c r="B28" s="20" t="s">
        <v>42</v>
      </c>
      <c r="C28" s="20"/>
      <c r="D28" s="20" t="s">
        <v>43</v>
      </c>
      <c r="E28" s="20" t="s">
        <v>26</v>
      </c>
      <c r="F28" s="20">
        <v>7800</v>
      </c>
      <c r="G28" s="20">
        <f>F28*E28</f>
      </c>
      <c r="H28" s="20"/>
      <c r="I28" s="21" t="s">
        <v>44</v>
      </c>
    </row>
    <row r="29" ht="18.75" customHeight="1">
      <c r="A29" s="19" t="s">
        <v>45</v>
      </c>
      <c r="B29" s="20" t="s">
        <v>42</v>
      </c>
      <c r="C29" s="20"/>
      <c r="D29" s="20" t="s">
        <v>43</v>
      </c>
      <c r="E29" s="20" t="s">
        <v>26</v>
      </c>
      <c r="F29" s="20">
        <v>4500</v>
      </c>
      <c r="G29" s="20">
        <f>F29*E29</f>
      </c>
      <c r="H29" s="20"/>
      <c r="I29" s="21" t="s">
        <v>46</v>
      </c>
    </row>
    <row r="30" ht="18.75" customHeight="1">
      <c r="A30" s="19" t="s">
        <v>47</v>
      </c>
      <c r="B30" s="20" t="s">
        <v>46</v>
      </c>
      <c r="C30" s="20"/>
      <c r="D30" s="20" t="s">
        <v>43</v>
      </c>
      <c r="E30" s="20" t="s">
        <v>26</v>
      </c>
      <c r="F30" s="20">
        <v>400</v>
      </c>
      <c r="G30" s="20">
        <f>F30*E30</f>
      </c>
      <c r="H30" s="20"/>
      <c r="I30" s="21" t="s">
        <v>46</v>
      </c>
    </row>
    <row r="31" ht="18.75" customHeight="1">
      <c r="A31" s="19" t="s">
        <v>48</v>
      </c>
      <c r="B31" s="20" t="s">
        <v>49</v>
      </c>
      <c r="C31" s="20"/>
      <c r="D31" s="20" t="s">
        <v>25</v>
      </c>
      <c r="E31" s="20" t="s">
        <v>26</v>
      </c>
      <c r="F31" s="20">
        <v>1000</v>
      </c>
      <c r="G31" s="20">
        <f>F31*E31</f>
      </c>
      <c r="H31" s="20"/>
      <c r="I31" s="21" t="s">
        <v>46</v>
      </c>
    </row>
    <row r="32" ht="18.75" customHeight="1">
      <c r="A32" s="19" t="s">
        <v>50</v>
      </c>
      <c r="B32" s="20" t="s">
        <v>49</v>
      </c>
      <c r="C32" s="20"/>
      <c r="D32" s="20" t="s">
        <v>25</v>
      </c>
      <c r="E32" s="20" t="s">
        <v>26</v>
      </c>
      <c r="F32" s="20">
        <v>2800</v>
      </c>
      <c r="G32" s="20">
        <f>F32*E32</f>
      </c>
      <c r="H32" s="20"/>
      <c r="I32" s="21" t="s">
        <v>51</v>
      </c>
    </row>
    <row r="33" ht="18.75" customHeight="1">
      <c r="A33" s="19" t="s">
        <v>52</v>
      </c>
      <c r="B33" s="20" t="s">
        <v>49</v>
      </c>
      <c r="C33" s="20"/>
      <c r="D33" s="20" t="s">
        <v>25</v>
      </c>
      <c r="E33" s="20" t="s">
        <v>26</v>
      </c>
      <c r="F33" s="20">
        <v>3000</v>
      </c>
      <c r="G33" s="20">
        <f>F33*E33</f>
      </c>
      <c r="H33" s="20"/>
      <c r="I33" s="21" t="s">
        <v>53</v>
      </c>
    </row>
    <row r="34" ht="15.75" customHeight="1">
      <c r="A34" s="19" t="s">
        <v>54</v>
      </c>
      <c r="B34" s="20" t="s">
        <v>49</v>
      </c>
      <c r="C34" s="20"/>
      <c r="D34" s="20" t="s">
        <v>25</v>
      </c>
      <c r="E34" s="20" t="s">
        <v>26</v>
      </c>
      <c r="F34" s="20">
        <v>2200</v>
      </c>
      <c r="G34" s="20">
        <f>F34*E34</f>
      </c>
      <c r="H34" s="20"/>
      <c r="I34" s="21" t="s">
        <v>46</v>
      </c>
    </row>
    <row r="35" ht="15.75" customHeight="1">
      <c r="A35" s="19" t="s">
        <v>55</v>
      </c>
      <c r="B35" s="20" t="s">
        <v>56</v>
      </c>
      <c r="C35" s="20"/>
      <c r="D35" s="20" t="s">
        <v>43</v>
      </c>
      <c r="E35" s="20" t="s">
        <v>26</v>
      </c>
      <c r="F35" s="20">
        <v>1200</v>
      </c>
      <c r="G35" s="20">
        <f>F35*E35</f>
      </c>
      <c r="H35" s="20"/>
      <c r="I35" s="21" t="s">
        <v>46</v>
      </c>
    </row>
    <row r="36" ht="15.75" customHeight="1">
      <c r="A36" s="19" t="s">
        <v>57</v>
      </c>
      <c r="B36" s="20" t="s">
        <v>58</v>
      </c>
      <c r="C36" s="20"/>
      <c r="D36" s="20" t="s">
        <v>43</v>
      </c>
      <c r="E36" s="20" t="s">
        <v>26</v>
      </c>
      <c r="F36" s="20">
        <v>0</v>
      </c>
      <c r="G36" s="20">
        <f>F36*E36</f>
      </c>
      <c r="H36" s="20"/>
      <c r="I36" s="21" t="s">
        <v>46</v>
      </c>
    </row>
    <row r="37" ht="15.75" customHeight="1">
      <c r="A37" s="19" t="s">
        <v>59</v>
      </c>
      <c r="B37" s="20" t="s">
        <v>58</v>
      </c>
      <c r="C37" s="20"/>
      <c r="D37" s="20" t="s">
        <v>43</v>
      </c>
      <c r="E37" s="20" t="s">
        <v>26</v>
      </c>
      <c r="F37" s="20">
        <v>0</v>
      </c>
      <c r="G37" s="20">
        <f>F37*E37</f>
      </c>
      <c r="H37" s="20"/>
      <c r="I37" s="21" t="s">
        <v>46</v>
      </c>
    </row>
    <row r="38" ht="15.75" customHeight="1">
      <c r="A38" s="19" t="s">
        <v>60</v>
      </c>
      <c r="B38" s="20" t="s">
        <v>61</v>
      </c>
      <c r="C38" s="20"/>
      <c r="D38" s="20" t="s">
        <v>25</v>
      </c>
      <c r="E38" s="20" t="s">
        <v>26</v>
      </c>
      <c r="F38" s="20">
        <v>1040</v>
      </c>
      <c r="G38" s="20">
        <f>F38*E38</f>
      </c>
      <c r="H38" s="20"/>
      <c r="I38" s="21" t="s">
        <v>62</v>
      </c>
    </row>
    <row r="39" ht="18.75" customHeight="1">
      <c r="A39" s="19" t="s">
        <v>63</v>
      </c>
      <c r="B39" s="20" t="s">
        <v>64</v>
      </c>
      <c r="C39" s="20"/>
      <c r="D39" s="20" t="s">
        <v>25</v>
      </c>
      <c r="E39" s="20" t="s">
        <v>26</v>
      </c>
      <c r="F39" s="20">
        <v>2000</v>
      </c>
      <c r="G39" s="20">
        <f>F39*E39</f>
      </c>
      <c r="H39" s="20"/>
      <c r="I39" s="21" t="s">
        <v>65</v>
      </c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 t="s">
        <v>66</v>
      </c>
      <c r="B41" s="20"/>
      <c r="C41" s="20"/>
      <c r="D41" s="20" t="s">
        <v>67</v>
      </c>
      <c r="E41" s="20"/>
      <c r="F41" s="20"/>
      <c r="G41" s="20">
        <f>sum(G29:G40)</f>
      </c>
      <c r="H41" s="20"/>
      <c r="I41" s="21"/>
    </row>
    <row r="42" ht="18.75" customHeight="1">
      <c r="A42" s="19" t="s">
        <v>68</v>
      </c>
      <c r="B42" s="20"/>
      <c r="C42" s="20"/>
      <c r="D42" s="20" t="s">
        <v>69</v>
      </c>
      <c r="E42" s="20"/>
      <c r="F42" s="20"/>
      <c r="G42" s="20">
        <f>sum(G41*J42)</f>
      </c>
      <c r="H42" s="20"/>
      <c r="I42" s="21"/>
      <c r="J42" s="0" t="s">
        <v>70</v>
      </c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45" t="s">
        <v>71</v>
      </c>
      <c r="B44" s="46" t="s">
        <v>17</v>
      </c>
      <c r="C44" s="20"/>
      <c r="D44" s="46" t="s">
        <v>29</v>
      </c>
      <c r="E44" s="46" t="s">
        <v>19</v>
      </c>
      <c r="F44" s="46" t="s">
        <v>20</v>
      </c>
      <c r="G44" s="46" t="s">
        <v>72</v>
      </c>
      <c r="H44" s="20"/>
      <c r="I44" s="47" t="s">
        <v>22</v>
      </c>
    </row>
    <row r="45" ht="18.75" customHeight="1">
      <c r="A45" s="19" t="s">
        <v>73</v>
      </c>
      <c r="B45" s="20" t="s">
        <v>74</v>
      </c>
      <c r="C45" s="20"/>
      <c r="D45" s="20" t="s">
        <v>11</v>
      </c>
      <c r="E45" s="20" t="s">
        <v>26</v>
      </c>
      <c r="F45" s="20">
        <v>10000</v>
      </c>
      <c r="G45" s="20">
        <f>F45*E45</f>
      </c>
      <c r="H45" s="20"/>
      <c r="I45" s="21" t="s">
        <v>75</v>
      </c>
    </row>
    <row r="46" ht="18.75" customHeight="1">
      <c r="A46" s="19" t="s">
        <v>76</v>
      </c>
      <c r="B46" s="20" t="s">
        <v>77</v>
      </c>
      <c r="C46" s="20"/>
      <c r="D46" s="20" t="s">
        <v>78</v>
      </c>
      <c r="E46" s="20" t="s">
        <v>26</v>
      </c>
      <c r="F46" s="20">
        <v>1200</v>
      </c>
      <c r="G46" s="20">
        <f>F46*E46</f>
      </c>
      <c r="H46" s="20"/>
      <c r="I46" s="21" t="s">
        <v>79</v>
      </c>
    </row>
    <row r="47" ht="18.75" customHeight="1">
      <c r="A47" s="19" t="s">
        <v>80</v>
      </c>
      <c r="B47" s="20" t="s">
        <v>81</v>
      </c>
      <c r="C47" s="20"/>
      <c r="D47" s="20" t="s">
        <v>29</v>
      </c>
      <c r="E47" s="20" t="s">
        <v>26</v>
      </c>
      <c r="F47" s="20">
        <v>1500</v>
      </c>
      <c r="G47" s="20">
        <f>F47*E47</f>
      </c>
      <c r="H47" s="20"/>
      <c r="I47" s="21" t="s">
        <v>82</v>
      </c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 t="s">
        <v>83</v>
      </c>
      <c r="B49" s="20"/>
      <c r="C49" s="20"/>
      <c r="D49" s="20" t="s">
        <v>84</v>
      </c>
      <c r="E49" s="20"/>
      <c r="F49" s="20"/>
      <c r="G49" s="20">
        <f>sum(G46:G48)</f>
      </c>
      <c r="H49" s="20"/>
      <c r="I49" s="21"/>
    </row>
    <row r="50" ht="15" customHeight="1">
      <c r="A50" s="19"/>
      <c r="B50" s="20"/>
      <c r="C50" s="20"/>
      <c r="D50" s="20" t="s">
        <v>85</v>
      </c>
      <c r="E50" s="20"/>
      <c r="F50" s="20"/>
      <c r="G50" s="20">
        <f>sum(G25 + G42 + G49)</f>
      </c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 t="s">
        <v>86</v>
      </c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 t="s">
        <v>87</v>
      </c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 t="s">
        <v>88</v>
      </c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 t="s">
        <v>89</v>
      </c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 t="s">
        <v>90</v>
      </c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