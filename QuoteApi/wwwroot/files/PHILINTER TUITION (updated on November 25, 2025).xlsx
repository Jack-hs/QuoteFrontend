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ELTS" sheetId="1" r:id="rId4"/>
    <sheet state="visible" name="ESL &amp; SPEAKING " sheetId="2" r:id="rId5"/>
    <sheet state="visible" name="TOEIC, BUSINESS" sheetId="3" r:id="rId6"/>
    <sheet state="visible" name="SPECIAL PROGRAM" sheetId="4" r:id="rId7"/>
    <sheet state="visible" name="JUNIOR &amp; FAMILY" sheetId="5" r:id="rId8"/>
    <sheet state="visible" name="PREMIUM" sheetId="6" r:id="rId9"/>
  </sheets>
  <definedNames/>
  <calcPr/>
  <extLst>
    <ext uri="GoogleSheetsCustomDataVersion2">
      <go:sheetsCustomData xmlns:go="http://customooxmlschemas.google.com/" r:id="rId10" roundtripDataChecksum="NulITqtJ/0REg0OqWJuxDF2p4qH0pfYzD5BKk7iUJ0k="/>
    </ext>
  </extLst>
</workbook>
</file>

<file path=xl/sharedStrings.xml><?xml version="1.0" encoding="utf-8"?>
<sst xmlns="http://schemas.openxmlformats.org/spreadsheetml/2006/main" count="1045" uniqueCount="73">
  <si>
    <t>2026 PRICELIST FOR JP/TW/CN/SA (updated on November 25, 2025)</t>
  </si>
  <si>
    <t>REGISTRATION FEE</t>
  </si>
  <si>
    <t>$120</t>
  </si>
  <si>
    <t>TUITION FEE (4weeks)</t>
  </si>
  <si>
    <t xml:space="preserve"> DORMITORY (4 weeks)</t>
  </si>
  <si>
    <t>Single</t>
  </si>
  <si>
    <t>Double</t>
  </si>
  <si>
    <t>Triple</t>
  </si>
  <si>
    <t>AZON CONDO (4 weeks)</t>
  </si>
  <si>
    <t>AZON Single</t>
  </si>
  <si>
    <t>AZON Double</t>
  </si>
  <si>
    <t>AZON Triple</t>
  </si>
  <si>
    <t>Course</t>
  </si>
  <si>
    <t>Room Type</t>
  </si>
  <si>
    <t>1W</t>
  </si>
  <si>
    <t>2W</t>
  </si>
  <si>
    <t>3W</t>
  </si>
  <si>
    <t>4W</t>
  </si>
  <si>
    <t>5W</t>
  </si>
  <si>
    <t>6W</t>
  </si>
  <si>
    <t>7W</t>
  </si>
  <si>
    <t>8W</t>
  </si>
  <si>
    <t>9W</t>
  </si>
  <si>
    <t>10W</t>
  </si>
  <si>
    <t>11W</t>
  </si>
  <si>
    <t>12W</t>
  </si>
  <si>
    <t>13W</t>
  </si>
  <si>
    <t>14W</t>
  </si>
  <si>
    <t>15W</t>
  </si>
  <si>
    <t>16W</t>
  </si>
  <si>
    <t>17W</t>
  </si>
  <si>
    <t>18W</t>
  </si>
  <si>
    <t>19W</t>
  </si>
  <si>
    <t>20W</t>
  </si>
  <si>
    <t>21W</t>
  </si>
  <si>
    <t>22W</t>
  </si>
  <si>
    <t>23W</t>
  </si>
  <si>
    <t>24W</t>
  </si>
  <si>
    <t>IELTS</t>
  </si>
  <si>
    <t>IELTS INTENSIVE</t>
  </si>
  <si>
    <t xml:space="preserve">Double </t>
  </si>
  <si>
    <t xml:space="preserve">AZON Double </t>
  </si>
  <si>
    <t>IELTS GUARANTEE 12 WEEKS</t>
  </si>
  <si>
    <t>-</t>
  </si>
  <si>
    <t>IELTS GUARANTEE 8 WEEKS</t>
  </si>
  <si>
    <t>* 註冊費不包含在以上試算表格金額內，請務必加上註冊費</t>
  </si>
  <si>
    <t>*雅思保證班僅限入住校內宿舍，不可入住Azon公寓。</t>
  </si>
  <si>
    <t>LIGHT ESL</t>
  </si>
  <si>
    <t>ESL &amp; SPEAKING</t>
  </si>
  <si>
    <t>INTENSIVE ESL</t>
  </si>
  <si>
    <t>GENERAL ESL</t>
  </si>
  <si>
    <t>IPS - Intensive Power Speaking</t>
  </si>
  <si>
    <t>*Junior學生須與年滿18歲的監護人同住，監護人僅限報名Light ESL</t>
  </si>
  <si>
    <t>BUSINESS</t>
  </si>
  <si>
    <t>Focus Indusry</t>
  </si>
  <si>
    <t>Basic Business</t>
  </si>
  <si>
    <t>Advanced Business</t>
  </si>
  <si>
    <t>TOEIC</t>
  </si>
  <si>
    <t>TOEIC Regular</t>
  </si>
  <si>
    <t>TOEIC GUARANTEE
12 WEEKS</t>
  </si>
  <si>
    <t>Focus Industry</t>
  </si>
  <si>
    <t xml:space="preserve">IELTS 16-Week for 5.5 </t>
  </si>
  <si>
    <t xml:space="preserve">IELTS 16-Week for 6.5 </t>
  </si>
  <si>
    <t>IELTS 6.5 FOR STARTER  (UPPER ELEMENTARY)</t>
  </si>
  <si>
    <t>IELTS 5.5 FOR STARTER (UPPER BEGINNER)</t>
  </si>
  <si>
    <t>Junior Course</t>
  </si>
  <si>
    <t>DORMITORY (4 weeks)</t>
  </si>
  <si>
    <t>JUNIOR ESL 
Primary (7~11yrs.)
Teen (12~17yrs.)</t>
  </si>
  <si>
    <t>JUNIOR IELTS (12~17yrs.)</t>
  </si>
  <si>
    <t xml:space="preserve">               2026 PRICELIST FOR JP/TW/CN/SA (updated on November 25, 2025)</t>
  </si>
  <si>
    <t>PREMIUM</t>
  </si>
  <si>
    <t>SPEAKING</t>
  </si>
  <si>
    <t>JUNIOR SPEAKING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</si>
</sst>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_);[Red]\(&quot;$&quot;#,##0\)"/>
    <numFmt numFmtId="165" formatCode="_([$$-409]* #,##0_);_([$$-409]* \(#,##0\);_([$$-409]* &quot;-&quot;??_);_(@_)"/>
    <numFmt numFmtId="166" formatCode="_([$$-409]* #,##0.00_);_([$$-409]* \(#,##0.00\);_([$$-409]* &quot;-&quot;??_);_(@_)"/>
    <numFmt numFmtId="167" formatCode="_([$$-409]* #,##0.0_);_([$$-409]* \(#,##0.0\);_([$$-409]* &quot;-&quot;?_);_(@_)"/>
    <numFmt numFmtId="168" formatCode="_([$$-409]* #,##0_);_([$$-409]* \(#,##0\);_([$$-409]* &quot;-&quot;?_);_(@_)"/>
  </numFmts>
  <fonts count="26">
    <font>
      <sz val="11.0"/>
      <color theme="1"/>
      <name val="Candara"/>
      <scheme val="minor"/>
    </font>
    <font>
      <b/>
      <sz val="48.0"/>
      <color theme="1"/>
      <name val="Arial"/>
    </font>
    <font>
      <sz val="14.0"/>
      <color theme="1"/>
      <name val="Arial"/>
    </font>
    <font>
      <b/>
      <sz val="14.0"/>
      <color rgb="FFFFFFFF"/>
      <name val="Arial"/>
    </font>
    <font/>
    <font>
      <b/>
      <sz val="14.0"/>
      <color rgb="FF000000"/>
      <name val="Arial"/>
    </font>
    <font>
      <b/>
      <sz val="14.0"/>
      <color theme="0"/>
      <name val="Arial"/>
    </font>
    <font>
      <b/>
      <i/>
      <sz val="14.0"/>
      <color rgb="FFC00000"/>
      <name val="Arial"/>
    </font>
    <font>
      <i/>
      <sz val="14.0"/>
      <color theme="1"/>
      <name val="Arial"/>
    </font>
    <font>
      <b/>
      <sz val="14.0"/>
      <color rgb="FFFF0000"/>
      <name val="Arial"/>
    </font>
    <font>
      <b/>
      <sz val="14.0"/>
      <color theme="1"/>
      <name val="Arial"/>
    </font>
    <font>
      <b/>
      <i/>
      <sz val="14.0"/>
      <color theme="0"/>
      <name val="Arial"/>
    </font>
    <font>
      <b/>
      <i/>
      <sz val="14.0"/>
      <color theme="1"/>
      <name val="Arial"/>
    </font>
    <font>
      <b/>
      <sz val="14.0"/>
      <color theme="0"/>
      <name val="Candara"/>
    </font>
    <font>
      <b/>
      <sz val="27.0"/>
      <color theme="1"/>
      <name val="Arial"/>
    </font>
    <font>
      <b/>
      <i/>
      <sz val="14.0"/>
      <color rgb="FFFFFFFF"/>
      <name val="Arial"/>
    </font>
    <font>
      <sz val="14.0"/>
      <color theme="1"/>
      <name val="Candara"/>
    </font>
    <font>
      <i/>
      <sz val="14.0"/>
      <color rgb="FFFF0000"/>
      <name val="Arial"/>
    </font>
    <font>
      <sz val="9.0"/>
      <color theme="1"/>
      <name val="Arial"/>
    </font>
    <font>
      <b/>
      <sz val="16.0"/>
      <color theme="0"/>
      <name val="Arial"/>
    </font>
    <font>
      <i/>
      <sz val="11.0"/>
      <color theme="1"/>
      <name val="Arial"/>
    </font>
    <font>
      <b/>
      <sz val="11.0"/>
      <color rgb="FFFF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2.0"/>
      <color theme="0"/>
      <name val="Candara"/>
    </font>
    <font>
      <sz val="12.0"/>
      <color theme="1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0075A2"/>
        <bgColor rgb="FF0075A2"/>
      </patternFill>
    </fill>
    <fill>
      <patternFill patternType="solid">
        <fgColor rgb="FFC7E2FA"/>
        <bgColor rgb="FFC7E2FA"/>
      </patternFill>
    </fill>
    <fill>
      <patternFill patternType="solid">
        <fgColor rgb="FFC4EEFE"/>
        <bgColor rgb="FFC4EEFE"/>
      </patternFill>
    </fill>
    <fill>
      <patternFill patternType="solid">
        <fgColor rgb="FF82B1E4"/>
        <bgColor rgb="FF82B1E4"/>
      </patternFill>
    </fill>
    <fill>
      <patternFill patternType="solid">
        <fgColor rgb="FFB2DDF2"/>
        <bgColor rgb="FFB2DDF2"/>
      </patternFill>
    </fill>
    <fill>
      <patternFill patternType="solid">
        <fgColor rgb="FFC8DA91"/>
        <bgColor rgb="FFC8DA91"/>
      </patternFill>
    </fill>
    <fill>
      <patternFill patternType="solid">
        <fgColor rgb="FFDAE6B6"/>
        <bgColor rgb="FFDAE6B6"/>
      </patternFill>
    </fill>
    <fill>
      <patternFill patternType="solid">
        <fgColor rgb="FF84F331"/>
        <bgColor rgb="FF84F331"/>
      </patternFill>
    </fill>
    <fill>
      <patternFill patternType="solid">
        <fgColor rgb="FF3F3F3F"/>
        <bgColor rgb="FF3F3F3F"/>
      </patternFill>
    </fill>
    <fill>
      <patternFill patternType="solid">
        <fgColor rgb="FFE69F58"/>
        <bgColor rgb="FFE69F58"/>
      </patternFill>
    </fill>
    <fill>
      <patternFill patternType="solid">
        <fgColor rgb="FF8D1F22"/>
        <bgColor rgb="FF8D1F22"/>
      </patternFill>
    </fill>
    <fill>
      <patternFill patternType="solid">
        <fgColor rgb="FFF8DBD0"/>
        <bgColor rgb="FFF8DBD0"/>
      </patternFill>
    </fill>
    <fill>
      <patternFill patternType="solid">
        <fgColor rgb="FFF5DEB5"/>
        <bgColor rgb="FFF5DEB5"/>
      </patternFill>
    </fill>
    <fill>
      <patternFill patternType="solid">
        <fgColor theme="0"/>
        <bgColor theme="0"/>
      </patternFill>
    </fill>
    <fill>
      <patternFill patternType="solid">
        <fgColor rgb="FF5CABF2"/>
        <bgColor rgb="FF5CABF2"/>
      </patternFill>
    </fill>
    <fill>
      <patternFill patternType="solid">
        <fgColor rgb="FF004E6C"/>
        <bgColor rgb="FF004E6C"/>
      </patternFill>
    </fill>
    <fill>
      <patternFill patternType="solid">
        <fgColor rgb="FFDBEFF9"/>
        <bgColor rgb="FFDBEFF9"/>
      </patternFill>
    </fill>
    <fill>
      <patternFill patternType="solid">
        <fgColor rgb="FF90C6F6"/>
        <bgColor rgb="FF90C6F6"/>
      </patternFill>
    </fill>
    <fill>
      <patternFill patternType="solid">
        <fgColor rgb="FF2190C8"/>
        <bgColor rgb="FF2190C8"/>
      </patternFill>
    </fill>
    <fill>
      <patternFill patternType="solid">
        <fgColor rgb="FF104864"/>
        <bgColor rgb="FF104864"/>
      </patternFill>
    </fill>
    <fill>
      <patternFill patternType="solid">
        <fgColor rgb="FF89DEFF"/>
        <bgColor rgb="FF89DEFF"/>
      </patternFill>
    </fill>
    <fill>
      <patternFill patternType="solid">
        <fgColor rgb="FF089CA2"/>
        <bgColor rgb="FF089CA2"/>
      </patternFill>
    </fill>
    <fill>
      <patternFill patternType="solid">
        <fgColor rgb="FF05686C"/>
        <bgColor rgb="FF05686C"/>
      </patternFill>
    </fill>
    <fill>
      <patternFill patternType="solid">
        <fgColor rgb="FFF8FAF0"/>
        <bgColor rgb="FFF8FAF0"/>
      </patternFill>
    </fill>
    <fill>
      <patternFill patternType="solid">
        <fgColor rgb="FFE4F4DF"/>
        <bgColor rgb="FFE4F4DF"/>
      </patternFill>
    </fill>
    <fill>
      <patternFill patternType="solid">
        <fgColor rgb="FF387025"/>
        <bgColor rgb="FF387025"/>
      </patternFill>
    </fill>
    <fill>
      <patternFill patternType="solid">
        <fgColor rgb="FFECF2DA"/>
        <bgColor rgb="FFECF2DA"/>
      </patternFill>
    </fill>
    <fill>
      <patternFill patternType="solid">
        <fgColor rgb="FFCAE9C0"/>
        <bgColor rgb="FFCAE9C0"/>
      </patternFill>
    </fill>
    <fill>
      <patternFill patternType="solid">
        <fgColor rgb="FFB0DFA0"/>
        <bgColor rgb="FFB0DFA0"/>
      </patternFill>
    </fill>
    <fill>
      <patternFill patternType="solid">
        <fgColor rgb="FF83E7E9"/>
        <bgColor rgb="FF83E7E9"/>
      </patternFill>
    </fill>
  </fills>
  <borders count="69">
    <border/>
    <border>
      <left/>
      <top/>
    </border>
    <border>
      <right style="medium">
        <color theme="0"/>
      </right>
      <top/>
    </border>
    <border>
      <left style="medium">
        <color theme="0"/>
      </left>
    </border>
    <border>
      <right style="medium">
        <color theme="0"/>
      </right>
    </border>
    <border>
      <left style="medium">
        <color theme="0"/>
      </left>
      <right style="medium">
        <color theme="0"/>
      </right>
      <bottom style="medium">
        <color theme="0"/>
      </bottom>
    </border>
    <border>
      <left style="medium">
        <color theme="0"/>
      </left>
      <top/>
    </border>
    <border>
      <left style="medium">
        <color theme="0"/>
      </left>
      <top style="medium">
        <color theme="0"/>
      </top>
    </border>
    <border>
      <right style="medium">
        <color theme="0"/>
      </right>
      <top style="medium">
        <color theme="0"/>
      </top>
    </border>
    <border>
      <left/>
      <top style="thin">
        <color theme="0"/>
      </top>
    </border>
    <border>
      <top style="thin">
        <color theme="0"/>
      </top>
    </border>
    <border>
      <right style="medium">
        <color theme="0"/>
      </right>
      <top style="thin">
        <color theme="0"/>
      </top>
    </border>
    <border>
      <left style="medium">
        <color theme="0"/>
      </left>
      <top style="thin">
        <color theme="0"/>
      </top>
    </border>
    <border>
      <right style="thin">
        <color theme="0"/>
      </right>
      <top style="thin">
        <color theme="0"/>
      </top>
    </border>
    <border>
      <left style="thin">
        <color theme="0"/>
      </left>
      <right style="medium">
        <color theme="0"/>
      </right>
      <bottom style="medium">
        <color theme="0"/>
      </bottom>
    </border>
    <border>
      <top/>
    </border>
    <border>
      <left style="medium">
        <color theme="0"/>
      </left>
      <top/>
      <bottom style="medium">
        <color theme="0"/>
      </bottom>
    </border>
    <border>
      <top/>
      <bottom style="medium">
        <color theme="0"/>
      </bottom>
    </border>
    <border>
      <right style="medium">
        <color theme="0"/>
      </right>
      <top/>
      <bottom style="medium">
        <color theme="0"/>
      </bottom>
    </border>
    <border>
      <left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/>
      <bottom style="medium">
        <color theme="0"/>
      </bottom>
    </border>
    <border>
      <bottom style="medium">
        <color theme="0"/>
      </bottom>
    </border>
    <border>
      <right style="medium">
        <color theme="0"/>
      </right>
      <bottom style="medium">
        <color theme="0"/>
      </bottom>
    </border>
    <border>
      <right style="thin">
        <color theme="0"/>
      </right>
    </border>
    <border>
      <left style="thin">
        <color theme="0"/>
      </left>
      <right style="medium">
        <color theme="0"/>
      </right>
      <top style="medium">
        <color theme="0"/>
      </top>
    </border>
    <border>
      <left style="medium">
        <color theme="0"/>
      </left>
      <top style="medium">
        <color theme="0"/>
      </top>
      <bottom style="medium">
        <color theme="0"/>
      </bottom>
    </border>
    <border>
      <top style="medium">
        <color theme="0"/>
      </top>
      <bottom style="medium">
        <color theme="0"/>
      </bottom>
    </border>
    <border>
      <right style="medium">
        <color theme="0"/>
      </right>
      <top style="medium">
        <color theme="0"/>
      </top>
      <bottom style="medium">
        <color theme="0"/>
      </bottom>
    </border>
    <border>
      <left/>
      <top style="medium">
        <color theme="0"/>
      </top>
    </border>
    <border>
      <top style="medium">
        <color theme="0"/>
      </top>
    </border>
    <border>
      <right style="thin">
        <color theme="0"/>
      </right>
      <top style="medium">
        <color theme="0"/>
      </top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</border>
    <border>
      <left style="medium">
        <color theme="0"/>
      </left>
      <bottom style="medium">
        <color theme="0"/>
      </bottom>
    </border>
    <border>
      <right style="thin">
        <color theme="0"/>
      </right>
      <bottom style="medium">
        <color theme="0"/>
      </bottom>
    </border>
    <border>
      <right style="thin">
        <color theme="0"/>
      </right>
      <top/>
    </border>
    <border>
      <left/>
      <bottom style="thin">
        <color theme="0"/>
      </bottom>
    </border>
    <border>
      <bottom style="thin">
        <color theme="0"/>
      </bottom>
    </border>
    <border>
      <left style="medium">
        <color theme="0"/>
      </left>
      <bottom style="thin">
        <color theme="0"/>
      </bottom>
    </border>
    <border>
      <right style="thin">
        <color theme="0"/>
      </right>
      <bottom style="thin">
        <color theme="0"/>
      </bottom>
    </border>
    <border>
      <left/>
      <top style="medium">
        <color theme="0"/>
      </top>
      <bottom style="medium">
        <color theme="0"/>
      </bottom>
    </border>
    <border>
      <left style="medium">
        <color theme="0"/>
      </left>
      <right/>
      <top style="medium">
        <color theme="0"/>
      </top>
      <bottom style="medium">
        <color theme="0"/>
      </bottom>
    </border>
    <border>
      <left/>
      <right/>
      <top style="medium">
        <color theme="0"/>
      </top>
    </border>
    <border>
      <left style="medium">
        <color theme="0"/>
      </left>
      <right style="medium">
        <color theme="0"/>
      </right>
      <top style="medium">
        <color theme="0"/>
      </top>
    </border>
    <border>
      <left/>
      <right/>
    </border>
    <border>
      <left style="medium">
        <color theme="0"/>
      </left>
      <right style="medium">
        <color theme="0"/>
      </right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/>
      <top/>
      <bottom/>
    </border>
    <border>
      <top/>
      <bottom/>
    </border>
    <border>
      <left style="medium">
        <color theme="0"/>
      </left>
      <top style="medium">
        <color theme="0"/>
      </top>
      <bottom/>
    </border>
    <border>
      <right style="medium">
        <color theme="0"/>
      </right>
      <top style="medium">
        <color theme="0"/>
      </top>
      <bottom/>
    </border>
    <border>
      <left/>
      <right/>
      <top style="medium">
        <color theme="0"/>
      </top>
      <bottom style="medium">
        <color theme="0"/>
      </bottom>
    </border>
    <border>
      <left/>
      <right style="medium">
        <color theme="0"/>
      </right>
      <top style="medium">
        <color theme="0"/>
      </top>
      <bottom style="medium">
        <color theme="0"/>
      </bottom>
    </border>
    <border>
      <left/>
      <right style="medium">
        <color theme="0"/>
      </right>
      <top style="medium">
        <color theme="0"/>
      </top>
    </border>
    <border>
      <left/>
      <right style="medium">
        <color theme="0"/>
      </right>
    </border>
    <border>
      <left/>
      <right style="medium">
        <color theme="0"/>
      </right>
      <bottom style="medium">
        <color theme="0"/>
      </bottom>
    </border>
    <border>
      <left style="medium">
        <color theme="0"/>
      </left>
      <right/>
      <top/>
      <bottom style="medium">
        <color theme="0"/>
      </bottom>
    </border>
    <border>
      <left/>
      <right style="medium">
        <color theme="0"/>
      </right>
      <top/>
      <bottom style="medium">
        <color theme="0"/>
      </bottom>
    </border>
    <border>
      <left style="medium">
        <color rgb="FF0F6FC6"/>
      </left>
      <top style="medium">
        <color rgb="FF0F6FC6"/>
      </top>
    </border>
    <border>
      <right style="medium">
        <color rgb="FF0F6FC6"/>
      </right>
      <top style="medium">
        <color rgb="FF0F6FC6"/>
      </top>
    </border>
    <border>
      <left style="medium">
        <color rgb="FF0F6FC6"/>
      </left>
    </border>
    <border>
      <right style="medium">
        <color rgb="FF0F6FC6"/>
      </right>
    </border>
    <border>
      <left style="medium">
        <color rgb="FF0F6FC6"/>
      </left>
      <bottom style="medium">
        <color rgb="FF0F6FC6"/>
      </bottom>
    </border>
    <border>
      <right style="medium">
        <color rgb="FF0F6FC6"/>
      </right>
      <bottom style="medium">
        <color rgb="FF0F6FC6"/>
      </bottom>
    </border>
    <border>
      <left/>
      <right style="medium">
        <color theme="0"/>
      </right>
      <top/>
    </border>
    <border>
      <top style="medium">
        <color rgb="FF0F6FC6"/>
      </top>
    </border>
    <border>
      <bottom style="medium">
        <color rgb="FF0F6FC6"/>
      </bottom>
    </border>
    <border>
      <left/>
      <bottom/>
    </border>
    <border>
      <bottom/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3" fontId="5" numFmtId="164" xfId="0" applyAlignment="1" applyBorder="1" applyFill="1" applyFont="1" applyNumberFormat="1">
      <alignment horizontal="center" readingOrder="0" vertical="center"/>
    </xf>
    <xf borderId="4" fillId="0" fontId="4" numFmtId="0" xfId="0" applyBorder="1" applyFont="1"/>
    <xf borderId="5" fillId="0" fontId="2" numFmtId="0" xfId="0" applyBorder="1" applyFont="1"/>
    <xf borderId="6" fillId="2" fontId="6" numFmtId="0" xfId="0" applyAlignment="1" applyBorder="1" applyFont="1">
      <alignment horizontal="center" shrinkToFit="0" vertical="center" wrapText="1"/>
    </xf>
    <xf borderId="7" fillId="4" fontId="7" numFmtId="0" xfId="0" applyAlignment="1" applyBorder="1" applyFill="1" applyFont="1">
      <alignment horizontal="center" shrinkToFit="0" vertical="center" wrapText="1"/>
    </xf>
    <xf borderId="8" fillId="0" fontId="4" numFmtId="0" xfId="0" applyBorder="1" applyFont="1"/>
    <xf borderId="9" fillId="3" fontId="8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3" fontId="9" numFmtId="165" xfId="0" applyAlignment="1" applyBorder="1" applyFont="1" applyNumberFormat="1">
      <alignment horizontal="left" readingOrder="0" vertical="center"/>
    </xf>
    <xf borderId="13" fillId="0" fontId="4" numFmtId="0" xfId="0" applyBorder="1" applyFont="1"/>
    <xf borderId="14" fillId="0" fontId="2" numFmtId="0" xfId="0" applyBorder="1" applyFont="1"/>
    <xf borderId="6" fillId="5" fontId="10" numFmtId="0" xfId="0" applyAlignment="1" applyBorder="1" applyFill="1" applyFont="1">
      <alignment horizontal="center" shrinkToFit="0" vertical="center" wrapText="1"/>
    </xf>
    <xf borderId="15" fillId="0" fontId="4" numFmtId="0" xfId="0" applyBorder="1" applyFont="1"/>
    <xf borderId="16" fillId="6" fontId="10" numFmtId="0" xfId="0" applyAlignment="1" applyBorder="1" applyFill="1" applyFont="1">
      <alignment horizontal="left"/>
    </xf>
    <xf borderId="17" fillId="0" fontId="4" numFmtId="0" xfId="0" applyBorder="1" applyFont="1"/>
    <xf borderId="18" fillId="0" fontId="4" numFmtId="0" xfId="0" applyBorder="1" applyFont="1"/>
    <xf borderId="16" fillId="6" fontId="9" numFmtId="165" xfId="0" applyAlignment="1" applyBorder="1" applyFont="1" applyNumberFormat="1">
      <alignment horizontal="center" readingOrder="0"/>
    </xf>
    <xf borderId="0" fillId="0" fontId="2" numFmtId="165" xfId="0" applyFont="1" applyNumberFormat="1"/>
    <xf borderId="19" fillId="0" fontId="4" numFmtId="0" xfId="0" applyBorder="1" applyFont="1"/>
    <xf borderId="3" fillId="0" fontId="4" numFmtId="0" xfId="0" applyBorder="1" applyFont="1"/>
    <xf borderId="20" fillId="0" fontId="2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25" fillId="0" fontId="2" numFmtId="0" xfId="0" applyBorder="1" applyFont="1"/>
    <xf borderId="26" fillId="6" fontId="10" numFmtId="0" xfId="0" applyAlignment="1" applyBorder="1" applyFont="1">
      <alignment horizontal="left"/>
    </xf>
    <xf borderId="27" fillId="0" fontId="4" numFmtId="0" xfId="0" applyBorder="1" applyFont="1"/>
    <xf borderId="28" fillId="0" fontId="4" numFmtId="0" xfId="0" applyBorder="1" applyFont="1"/>
    <xf borderId="26" fillId="6" fontId="9" numFmtId="165" xfId="0" applyAlignment="1" applyBorder="1" applyFont="1" applyNumberFormat="1">
      <alignment horizontal="center" readingOrder="0"/>
    </xf>
    <xf borderId="29" fillId="3" fontId="8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7" fillId="3" fontId="9" numFmtId="165" xfId="0" applyAlignment="1" applyBorder="1" applyFont="1" applyNumberFormat="1">
      <alignment horizontal="center" readingOrder="0" vertical="center"/>
    </xf>
    <xf borderId="31" fillId="0" fontId="4" numFmtId="0" xfId="0" applyBorder="1" applyFont="1"/>
    <xf borderId="32" fillId="0" fontId="2" numFmtId="0" xfId="0" applyBorder="1" applyFont="1"/>
    <xf borderId="33" fillId="0" fontId="4" numFmtId="0" xfId="0" applyBorder="1" applyFont="1"/>
    <xf borderId="26" fillId="6" fontId="10" numFmtId="165" xfId="0" applyAlignment="1" applyBorder="1" applyFont="1" applyNumberFormat="1">
      <alignment horizontal="center"/>
    </xf>
    <xf borderId="34" fillId="0" fontId="4" numFmtId="0" xfId="0" applyBorder="1" applyFont="1"/>
    <xf borderId="28" fillId="0" fontId="2" numFmtId="0" xfId="0" applyBorder="1" applyFont="1"/>
    <xf borderId="7" fillId="7" fontId="10" numFmtId="0" xfId="0" applyAlignment="1" applyBorder="1" applyFill="1" applyFont="1">
      <alignment horizontal="center" shrinkToFit="0" vertical="center" wrapText="1"/>
    </xf>
    <xf borderId="26" fillId="8" fontId="10" numFmtId="0" xfId="0" applyAlignment="1" applyBorder="1" applyFill="1" applyFont="1">
      <alignment horizontal="left"/>
    </xf>
    <xf borderId="26" fillId="8" fontId="10" numFmtId="165" xfId="0" applyAlignment="1" applyBorder="1" applyFont="1" applyNumberFormat="1">
      <alignment horizontal="center"/>
    </xf>
    <xf borderId="20" fillId="0" fontId="2" numFmtId="0" xfId="0" applyAlignment="1" applyBorder="1" applyFont="1">
      <alignment horizontal="center" vertical="center"/>
    </xf>
    <xf borderId="6" fillId="3" fontId="9" numFmtId="165" xfId="0" applyAlignment="1" applyBorder="1" applyFont="1" applyNumberFormat="1">
      <alignment horizontal="center" readingOrder="0" vertical="center"/>
    </xf>
    <xf borderId="35" fillId="0" fontId="4" numFmtId="0" xfId="0" applyBorder="1" applyFont="1"/>
    <xf borderId="26" fillId="8" fontId="9" numFmtId="165" xfId="0" applyAlignment="1" applyBorder="1" applyFont="1" applyNumberFormat="1">
      <alignment horizontal="center" readingOrder="0"/>
    </xf>
    <xf borderId="36" fillId="0" fontId="4" numFmtId="0" xfId="0" applyBorder="1" applyFont="1"/>
    <xf borderId="37" fillId="0" fontId="4" numFmtId="0" xfId="0" applyBorder="1" applyFont="1"/>
    <xf borderId="38" fillId="0" fontId="4" numFmtId="0" xfId="0" applyBorder="1" applyFont="1"/>
    <xf borderId="39" fillId="0" fontId="4" numFmtId="0" xfId="0" applyBorder="1" applyFont="1"/>
    <xf borderId="26" fillId="0" fontId="2" numFmtId="0" xfId="0" applyBorder="1" applyFont="1"/>
    <xf borderId="20" fillId="9" fontId="2" numFmtId="9" xfId="0" applyAlignment="1" applyBorder="1" applyFill="1" applyFont="1" applyNumberFormat="1">
      <alignment horizontal="center" vertical="center"/>
    </xf>
    <xf borderId="20" fillId="0" fontId="2" numFmtId="166" xfId="0" applyBorder="1" applyFont="1" applyNumberFormat="1"/>
    <xf borderId="20" fillId="0" fontId="2" numFmtId="167" xfId="0" applyBorder="1" applyFont="1" applyNumberFormat="1"/>
    <xf borderId="40" fillId="10" fontId="6" numFmtId="0" xfId="0" applyAlignment="1" applyBorder="1" applyFill="1" applyFont="1">
      <alignment horizontal="center" vertical="center"/>
    </xf>
    <xf borderId="20" fillId="10" fontId="6" numFmtId="0" xfId="0" applyAlignment="1" applyBorder="1" applyFont="1">
      <alignment horizontal="center" vertical="center"/>
    </xf>
    <xf borderId="41" fillId="10" fontId="6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7" fillId="0" fontId="2" numFmtId="0" xfId="0" applyAlignment="1" applyBorder="1" applyFont="1">
      <alignment horizontal="center"/>
    </xf>
    <xf borderId="42" fillId="11" fontId="11" numFmtId="0" xfId="0" applyAlignment="1" applyBorder="1" applyFill="1" applyFont="1">
      <alignment horizontal="center" shrinkToFit="0" vertical="center" wrapText="1"/>
    </xf>
    <xf borderId="43" fillId="12" fontId="6" numFmtId="0" xfId="0" applyAlignment="1" applyBorder="1" applyFill="1" applyFont="1">
      <alignment horizontal="center" shrinkToFit="0" vertical="center" wrapText="1"/>
    </xf>
    <xf borderId="20" fillId="13" fontId="10" numFmtId="0" xfId="0" applyAlignment="1" applyBorder="1" applyFill="1" applyFont="1">
      <alignment horizontal="left" vertical="center"/>
    </xf>
    <xf borderId="20" fillId="13" fontId="2" numFmtId="168" xfId="0" applyAlignment="1" applyBorder="1" applyFont="1" applyNumberFormat="1">
      <alignment horizontal="left" vertical="center"/>
    </xf>
    <xf borderId="20" fillId="13" fontId="2" numFmtId="165" xfId="0" applyAlignment="1" applyBorder="1" applyFont="1" applyNumberFormat="1">
      <alignment horizontal="left" vertical="center"/>
    </xf>
    <xf borderId="20" fillId="13" fontId="12" numFmtId="165" xfId="0" applyAlignment="1" applyBorder="1" applyFont="1" applyNumberFormat="1">
      <alignment horizontal="left" vertical="center"/>
    </xf>
    <xf borderId="41" fillId="13" fontId="12" numFmtId="165" xfId="0" applyAlignment="1" applyBorder="1" applyFont="1" applyNumberFormat="1">
      <alignment horizontal="left" vertical="center"/>
    </xf>
    <xf borderId="0" fillId="0" fontId="2" numFmtId="165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44" fillId="0" fontId="4" numFmtId="0" xfId="0" applyBorder="1" applyFont="1"/>
    <xf borderId="45" fillId="0" fontId="4" numFmtId="0" xfId="0" applyBorder="1" applyFont="1"/>
    <xf borderId="20" fillId="14" fontId="10" numFmtId="0" xfId="0" applyAlignment="1" applyBorder="1" applyFill="1" applyFont="1">
      <alignment horizontal="left" vertical="center"/>
    </xf>
    <xf borderId="20" fillId="14" fontId="2" numFmtId="165" xfId="0" applyAlignment="1" applyBorder="1" applyFont="1" applyNumberFormat="1">
      <alignment horizontal="left" vertical="center"/>
    </xf>
    <xf borderId="20" fillId="14" fontId="12" numFmtId="165" xfId="0" applyAlignment="1" applyBorder="1" applyFont="1" applyNumberFormat="1">
      <alignment horizontal="left" vertical="center"/>
    </xf>
    <xf borderId="20" fillId="11" fontId="10" numFmtId="0" xfId="0" applyAlignment="1" applyBorder="1" applyFont="1">
      <alignment horizontal="left" vertical="center"/>
    </xf>
    <xf borderId="20" fillId="11" fontId="2" numFmtId="165" xfId="0" applyAlignment="1" applyBorder="1" applyFont="1" applyNumberFormat="1">
      <alignment horizontal="left" vertical="center"/>
    </xf>
    <xf borderId="20" fillId="11" fontId="12" numFmtId="165" xfId="0" applyAlignment="1" applyBorder="1" applyFont="1" applyNumberFormat="1">
      <alignment horizontal="left" vertical="center"/>
    </xf>
    <xf borderId="41" fillId="11" fontId="12" numFmtId="165" xfId="0" applyAlignment="1" applyBorder="1" applyFont="1" applyNumberFormat="1">
      <alignment horizontal="left" vertical="center"/>
    </xf>
    <xf borderId="41" fillId="14" fontId="12" numFmtId="165" xfId="0" applyAlignment="1" applyBorder="1" applyFont="1" applyNumberFormat="1">
      <alignment horizontal="left" vertical="center"/>
    </xf>
    <xf borderId="5" fillId="0" fontId="4" numFmtId="0" xfId="0" applyBorder="1" applyFont="1"/>
    <xf borderId="0" fillId="0" fontId="9" numFmtId="0" xfId="0" applyFont="1"/>
    <xf borderId="1" fillId="2" fontId="6" numFmtId="0" xfId="0" applyAlignment="1" applyBorder="1" applyFont="1">
      <alignment horizontal="center" vertical="center"/>
    </xf>
    <xf borderId="1" fillId="6" fontId="8" numFmtId="0" xfId="0" applyAlignment="1" applyBorder="1" applyFont="1">
      <alignment horizontal="center" shrinkToFit="0" vertical="center" wrapText="1"/>
    </xf>
    <xf borderId="6" fillId="6" fontId="9" numFmtId="165" xfId="0" applyAlignment="1" applyBorder="1" applyFont="1" applyNumberFormat="1">
      <alignment horizontal="left" readingOrder="0" vertical="center"/>
    </xf>
    <xf borderId="29" fillId="6" fontId="8" numFmtId="0" xfId="0" applyAlignment="1" applyBorder="1" applyFont="1">
      <alignment horizontal="center" shrinkToFit="0" vertical="center" wrapText="1"/>
    </xf>
    <xf borderId="7" fillId="6" fontId="10" numFmtId="165" xfId="0" applyAlignment="1" applyBorder="1" applyFont="1" applyNumberFormat="1">
      <alignment horizontal="center" vertical="center"/>
    </xf>
    <xf borderId="27" fillId="0" fontId="2" numFmtId="0" xfId="0" applyBorder="1" applyFont="1"/>
    <xf borderId="46" fillId="0" fontId="2" numFmtId="0" xfId="0" applyBorder="1" applyFont="1"/>
    <xf borderId="7" fillId="6" fontId="9" numFmtId="165" xfId="0" applyAlignment="1" applyBorder="1" applyFont="1" applyNumberFormat="1">
      <alignment horizontal="center" readingOrder="0" vertical="center"/>
    </xf>
    <xf borderId="47" fillId="6" fontId="8" numFmtId="0" xfId="0" applyAlignment="1" applyBorder="1" applyFont="1">
      <alignment horizontal="center" shrinkToFit="0" vertical="center" wrapText="1"/>
    </xf>
    <xf borderId="48" fillId="0" fontId="4" numFmtId="0" xfId="0" applyBorder="1" applyFont="1"/>
    <xf borderId="49" fillId="6" fontId="10" numFmtId="165" xfId="0" applyAlignment="1" applyBorder="1" applyFont="1" applyNumberFormat="1">
      <alignment horizontal="center" vertical="center"/>
    </xf>
    <xf borderId="50" fillId="0" fontId="4" numFmtId="0" xfId="0" applyBorder="1" applyFont="1"/>
    <xf borderId="41" fillId="15" fontId="2" numFmtId="0" xfId="0" applyAlignment="1" applyBorder="1" applyFill="1" applyFont="1">
      <alignment horizontal="center"/>
    </xf>
    <xf borderId="51" fillId="15" fontId="2" numFmtId="0" xfId="0" applyAlignment="1" applyBorder="1" applyFont="1">
      <alignment horizontal="center"/>
    </xf>
    <xf borderId="52" fillId="15" fontId="2" numFmtId="0" xfId="0" applyAlignment="1" applyBorder="1" applyFont="1">
      <alignment horizontal="center"/>
    </xf>
    <xf borderId="41" fillId="15" fontId="2" numFmtId="164" xfId="0" applyAlignment="1" applyBorder="1" applyFont="1" applyNumberFormat="1">
      <alignment horizontal="center"/>
    </xf>
    <xf borderId="40" fillId="10" fontId="13" numFmtId="0" xfId="0" applyAlignment="1" applyBorder="1" applyFont="1">
      <alignment horizontal="center" vertical="center"/>
    </xf>
    <xf borderId="20" fillId="10" fontId="13" numFmtId="0" xfId="0" applyAlignment="1" applyBorder="1" applyFont="1">
      <alignment horizontal="center" vertical="center"/>
    </xf>
    <xf borderId="41" fillId="10" fontId="13" numFmtId="0" xfId="0" applyAlignment="1" applyBorder="1" applyFont="1">
      <alignment horizontal="center" vertical="center"/>
    </xf>
    <xf borderId="53" fillId="16" fontId="11" numFmtId="0" xfId="0" applyAlignment="1" applyBorder="1" applyFill="1" applyFont="1">
      <alignment horizontal="center" shrinkToFit="0" vertical="center" wrapText="1"/>
    </xf>
    <xf borderId="43" fillId="17" fontId="6" numFmtId="0" xfId="0" applyAlignment="1" applyBorder="1" applyFill="1" applyFont="1">
      <alignment horizontal="center" shrinkToFit="0" vertical="center" wrapText="1"/>
    </xf>
    <xf borderId="20" fillId="18" fontId="10" numFmtId="0" xfId="0" applyAlignment="1" applyBorder="1" applyFill="1" applyFont="1">
      <alignment horizontal="left" vertical="center"/>
    </xf>
    <xf borderId="20" fillId="18" fontId="2" numFmtId="168" xfId="0" applyAlignment="1" applyBorder="1" applyFont="1" applyNumberFormat="1">
      <alignment horizontal="center" vertical="center"/>
    </xf>
    <xf borderId="20" fillId="18" fontId="2" numFmtId="165" xfId="0" applyAlignment="1" applyBorder="1" applyFont="1" applyNumberFormat="1">
      <alignment horizontal="center" vertical="center"/>
    </xf>
    <xf borderId="20" fillId="18" fontId="12" numFmtId="165" xfId="0" applyAlignment="1" applyBorder="1" applyFont="1" applyNumberFormat="1">
      <alignment horizontal="center" vertical="center"/>
    </xf>
    <xf borderId="41" fillId="18" fontId="12" numFmtId="165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54" fillId="0" fontId="4" numFmtId="0" xfId="0" applyBorder="1" applyFont="1"/>
    <xf borderId="20" fillId="4" fontId="10" numFmtId="0" xfId="0" applyAlignment="1" applyBorder="1" applyFont="1">
      <alignment horizontal="left" vertical="center"/>
    </xf>
    <xf borderId="20" fillId="4" fontId="2" numFmtId="165" xfId="0" applyAlignment="1" applyBorder="1" applyFont="1" applyNumberFormat="1">
      <alignment horizontal="center" vertical="center"/>
    </xf>
    <xf borderId="20" fillId="4" fontId="12" numFmtId="165" xfId="0" applyAlignment="1" applyBorder="1" applyFont="1" applyNumberFormat="1">
      <alignment horizontal="center" vertical="center"/>
    </xf>
    <xf borderId="20" fillId="19" fontId="10" numFmtId="0" xfId="0" applyAlignment="1" applyBorder="1" applyFill="1" applyFont="1">
      <alignment horizontal="left" vertical="center"/>
    </xf>
    <xf borderId="20" fillId="19" fontId="2" numFmtId="165" xfId="0" applyAlignment="1" applyBorder="1" applyFont="1" applyNumberFormat="1">
      <alignment horizontal="center" vertical="center"/>
    </xf>
    <xf borderId="20" fillId="19" fontId="12" numFmtId="165" xfId="0" applyAlignment="1" applyBorder="1" applyFont="1" applyNumberFormat="1">
      <alignment horizontal="center" vertical="center"/>
    </xf>
    <xf borderId="41" fillId="19" fontId="12" numFmtId="165" xfId="0" applyAlignment="1" applyBorder="1" applyFont="1" applyNumberFormat="1">
      <alignment horizontal="center" vertical="center"/>
    </xf>
    <xf borderId="41" fillId="4" fontId="12" numFmtId="165" xfId="0" applyAlignment="1" applyBorder="1" applyFont="1" applyNumberFormat="1">
      <alignment horizontal="center" vertical="center"/>
    </xf>
    <xf borderId="33" fillId="0" fontId="2" numFmtId="0" xfId="0" applyBorder="1" applyFont="1"/>
    <xf borderId="7" fillId="2" fontId="6" numFmtId="0" xfId="0" applyAlignment="1" applyBorder="1" applyFont="1">
      <alignment horizontal="center" shrinkToFit="0" vertical="center" wrapText="1"/>
    </xf>
    <xf borderId="40" fillId="3" fontId="8" numFmtId="0" xfId="0" applyAlignment="1" applyBorder="1" applyFont="1">
      <alignment horizontal="center" readingOrder="0" shrinkToFit="0" vertical="center" wrapText="1"/>
    </xf>
    <xf borderId="23" fillId="0" fontId="2" numFmtId="0" xfId="0" applyBorder="1" applyFont="1"/>
    <xf borderId="3" fillId="3" fontId="8" numFmtId="0" xfId="0" applyAlignment="1" applyBorder="1" applyFont="1">
      <alignment horizontal="center" readingOrder="0" shrinkToFit="0" vertical="center" wrapText="1"/>
    </xf>
    <xf borderId="40" fillId="3" fontId="8" numFmtId="0" xfId="0" applyAlignment="1" applyBorder="1" applyFont="1">
      <alignment horizontal="center" shrinkToFit="0" vertical="center" wrapText="1"/>
    </xf>
    <xf borderId="26" fillId="3" fontId="9" numFmtId="165" xfId="0" applyAlignment="1" applyBorder="1" applyFont="1" applyNumberFormat="1">
      <alignment horizontal="center" readingOrder="0" vertical="center"/>
    </xf>
    <xf borderId="26" fillId="0" fontId="2" numFmtId="0" xfId="0" applyAlignment="1" applyBorder="1" applyFont="1">
      <alignment horizontal="center" vertical="center"/>
    </xf>
    <xf borderId="53" fillId="20" fontId="11" numFmtId="0" xfId="0" applyAlignment="1" applyBorder="1" applyFill="1" applyFont="1">
      <alignment horizontal="center" shrinkToFit="0" vertical="center" wrapText="1"/>
    </xf>
    <xf borderId="43" fillId="21" fontId="6" numFmtId="0" xfId="0" applyAlignment="1" applyBorder="1" applyFill="1" applyFont="1">
      <alignment horizontal="center" shrinkToFit="0" vertical="center" wrapText="1"/>
    </xf>
    <xf borderId="20" fillId="18" fontId="10" numFmtId="0" xfId="0" applyBorder="1" applyFont="1"/>
    <xf borderId="20" fillId="18" fontId="2" numFmtId="168" xfId="0" applyBorder="1" applyFont="1" applyNumberFormat="1"/>
    <xf borderId="20" fillId="18" fontId="2" numFmtId="165" xfId="0" applyBorder="1" applyFont="1" applyNumberFormat="1"/>
    <xf borderId="20" fillId="18" fontId="10" numFmtId="165" xfId="0" applyBorder="1" applyFont="1" applyNumberFormat="1"/>
    <xf borderId="41" fillId="18" fontId="2" numFmtId="165" xfId="0" applyBorder="1" applyFont="1" applyNumberFormat="1"/>
    <xf borderId="20" fillId="4" fontId="10" numFmtId="0" xfId="0" applyBorder="1" applyFont="1"/>
    <xf borderId="20" fillId="4" fontId="2" numFmtId="165" xfId="0" applyBorder="1" applyFont="1" applyNumberFormat="1"/>
    <xf borderId="20" fillId="4" fontId="10" numFmtId="165" xfId="0" applyBorder="1" applyFont="1" applyNumberFormat="1"/>
    <xf borderId="20" fillId="22" fontId="10" numFmtId="0" xfId="0" applyBorder="1" applyFill="1" applyFont="1"/>
    <xf borderId="20" fillId="22" fontId="2" numFmtId="165" xfId="0" applyBorder="1" applyFont="1" applyNumberFormat="1"/>
    <xf borderId="20" fillId="22" fontId="10" numFmtId="165" xfId="0" applyBorder="1" applyFont="1" applyNumberFormat="1"/>
    <xf borderId="41" fillId="22" fontId="2" numFmtId="165" xfId="0" applyBorder="1" applyFont="1" applyNumberFormat="1"/>
    <xf borderId="20" fillId="22" fontId="10" numFmtId="0" xfId="0" applyAlignment="1" applyBorder="1" applyFont="1">
      <alignment horizontal="left" vertical="center"/>
    </xf>
    <xf borderId="43" fillId="21" fontId="3" numFmtId="0" xfId="0" applyAlignment="1" applyBorder="1" applyFont="1">
      <alignment horizontal="center" readingOrder="0" shrinkToFit="0" vertical="center" wrapText="1"/>
    </xf>
    <xf borderId="26" fillId="18" fontId="2" numFmtId="165" xfId="0" applyBorder="1" applyFont="1" applyNumberFormat="1"/>
    <xf borderId="26" fillId="4" fontId="2" numFmtId="165" xfId="0" applyBorder="1" applyFont="1" applyNumberFormat="1"/>
    <xf borderId="26" fillId="22" fontId="2" numFmtId="165" xfId="0" applyBorder="1" applyFont="1" applyNumberFormat="1"/>
    <xf borderId="53" fillId="23" fontId="11" numFmtId="0" xfId="0" applyAlignment="1" applyBorder="1" applyFill="1" applyFont="1">
      <alignment horizontal="center" shrinkToFit="0" vertical="center" wrapText="1"/>
    </xf>
    <xf borderId="43" fillId="24" fontId="3" numFmtId="0" xfId="0" applyAlignment="1" applyBorder="1" applyFill="1" applyFont="1">
      <alignment horizontal="center" readingOrder="0" shrinkToFit="0" vertical="center" wrapText="1"/>
    </xf>
    <xf borderId="20" fillId="25" fontId="10" numFmtId="0" xfId="0" applyBorder="1" applyFill="1" applyFont="1"/>
    <xf borderId="20" fillId="25" fontId="2" numFmtId="168" xfId="0" applyBorder="1" applyFont="1" applyNumberFormat="1"/>
    <xf borderId="20" fillId="25" fontId="2" numFmtId="165" xfId="0" applyBorder="1" applyFont="1" applyNumberFormat="1"/>
    <xf borderId="20" fillId="25" fontId="12" numFmtId="165" xfId="0" applyBorder="1" applyFont="1" applyNumberFormat="1"/>
    <xf borderId="41" fillId="25" fontId="12" numFmtId="165" xfId="0" applyBorder="1" applyFont="1" applyNumberFormat="1"/>
    <xf borderId="20" fillId="26" fontId="10" numFmtId="0" xfId="0" applyBorder="1" applyFill="1" applyFont="1"/>
    <xf borderId="20" fillId="26" fontId="2" numFmtId="165" xfId="0" applyBorder="1" applyFont="1" applyNumberFormat="1"/>
    <xf borderId="20" fillId="26" fontId="12" numFmtId="165" xfId="0" applyBorder="1" applyFont="1" applyNumberFormat="1"/>
    <xf borderId="20" fillId="8" fontId="10" numFmtId="0" xfId="0" applyBorder="1" applyFont="1"/>
    <xf borderId="20" fillId="8" fontId="2" numFmtId="165" xfId="0" applyBorder="1" applyFont="1" applyNumberFormat="1"/>
    <xf borderId="20" fillId="8" fontId="12" numFmtId="165" xfId="0" applyBorder="1" applyFont="1" applyNumberFormat="1"/>
    <xf borderId="41" fillId="8" fontId="12" numFmtId="165" xfId="0" applyBorder="1" applyFont="1" applyNumberFormat="1"/>
    <xf borderId="20" fillId="25" fontId="10" numFmtId="0" xfId="0" applyAlignment="1" applyBorder="1" applyFont="1">
      <alignment horizontal="left" vertical="center"/>
    </xf>
    <xf borderId="20" fillId="26" fontId="10" numFmtId="0" xfId="0" applyAlignment="1" applyBorder="1" applyFont="1">
      <alignment horizontal="left" vertical="center"/>
    </xf>
    <xf borderId="20" fillId="8" fontId="10" numFmtId="0" xfId="0" applyAlignment="1" applyBorder="1" applyFont="1">
      <alignment horizontal="left" vertical="center"/>
    </xf>
    <xf borderId="43" fillId="24" fontId="6" numFmtId="0" xfId="0" applyAlignment="1" applyBorder="1" applyFont="1">
      <alignment horizontal="center" shrinkToFit="0" vertical="center" wrapText="1"/>
    </xf>
    <xf borderId="55" fillId="0" fontId="4" numFmtId="0" xfId="0" applyBorder="1" applyFont="1"/>
    <xf borderId="0" fillId="0" fontId="14" numFmtId="0" xfId="0" applyAlignment="1" applyFont="1">
      <alignment horizontal="center" readingOrder="0" vertical="center"/>
    </xf>
    <xf borderId="6" fillId="15" fontId="6" numFmtId="0" xfId="0" applyAlignment="1" applyBorder="1" applyFont="1">
      <alignment horizontal="center" shrinkToFit="0" vertical="center" wrapText="1"/>
    </xf>
    <xf borderId="7" fillId="6" fontId="2" numFmtId="165" xfId="0" applyAlignment="1" applyBorder="1" applyFont="1" applyNumberFormat="1">
      <alignment horizontal="center" vertical="center"/>
    </xf>
    <xf borderId="22" fillId="0" fontId="6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center" vertical="center"/>
    </xf>
    <xf borderId="5" fillId="0" fontId="10" numFmtId="164" xfId="0" applyAlignment="1" applyBorder="1" applyFont="1" applyNumberFormat="1">
      <alignment horizontal="center" vertical="center"/>
    </xf>
    <xf borderId="20" fillId="0" fontId="2" numFmtId="0" xfId="0" applyAlignment="1" applyBorder="1" applyFont="1">
      <alignment horizontal="center" shrinkToFit="0" vertical="center" wrapText="1"/>
    </xf>
    <xf borderId="56" fillId="15" fontId="6" numFmtId="0" xfId="0" applyAlignment="1" applyBorder="1" applyFont="1">
      <alignment horizontal="center" shrinkToFit="0" vertical="center" wrapText="1"/>
    </xf>
    <xf borderId="57" fillId="15" fontId="6" numFmtId="0" xfId="0" applyAlignment="1" applyBorder="1" applyFont="1">
      <alignment horizontal="center" shrinkToFit="0" vertical="center" wrapText="1"/>
    </xf>
    <xf borderId="20" fillId="0" fontId="10" numFmtId="0" xfId="0" applyAlignment="1" applyBorder="1" applyFont="1">
      <alignment horizontal="center" shrinkToFit="0" vertical="center" wrapText="1"/>
    </xf>
    <xf borderId="20" fillId="0" fontId="10" numFmtId="0" xfId="0" applyAlignment="1" applyBorder="1" applyFont="1">
      <alignment horizontal="left"/>
    </xf>
    <xf borderId="20" fillId="0" fontId="10" numFmtId="165" xfId="0" applyAlignment="1" applyBorder="1" applyFont="1" applyNumberFormat="1">
      <alignment horizontal="center"/>
    </xf>
    <xf borderId="26" fillId="0" fontId="10" numFmtId="165" xfId="0" applyAlignment="1" applyBorder="1" applyFont="1" applyNumberFormat="1">
      <alignment horizontal="center"/>
    </xf>
    <xf borderId="29" fillId="27" fontId="15" numFmtId="0" xfId="0" applyAlignment="1" applyBorder="1" applyFill="1" applyFont="1">
      <alignment horizontal="center" readingOrder="0" shrinkToFit="0" vertical="center" wrapText="1"/>
    </xf>
    <xf borderId="20" fillId="28" fontId="10" numFmtId="0" xfId="0" applyAlignment="1" applyBorder="1" applyFill="1" applyFont="1">
      <alignment horizontal="left" vertical="center"/>
    </xf>
    <xf borderId="20" fillId="28" fontId="2" numFmtId="165" xfId="0" applyAlignment="1" applyBorder="1" applyFont="1" applyNumberFormat="1">
      <alignment horizontal="center" vertical="center"/>
    </xf>
    <xf borderId="20" fillId="28" fontId="10" numFmtId="165" xfId="0" applyAlignment="1" applyBorder="1" applyFont="1" applyNumberFormat="1">
      <alignment horizontal="center" vertical="center"/>
    </xf>
    <xf borderId="20" fillId="29" fontId="10" numFmtId="0" xfId="0" applyAlignment="1" applyBorder="1" applyFill="1" applyFont="1">
      <alignment horizontal="left" vertical="center"/>
    </xf>
    <xf borderId="20" fillId="29" fontId="2" numFmtId="165" xfId="0" applyAlignment="1" applyBorder="1" applyFont="1" applyNumberFormat="1">
      <alignment horizontal="center" vertical="center"/>
    </xf>
    <xf borderId="20" fillId="29" fontId="10" numFmtId="165" xfId="0" applyAlignment="1" applyBorder="1" applyFont="1" applyNumberFormat="1">
      <alignment horizontal="center" vertical="center"/>
    </xf>
    <xf borderId="20" fillId="30" fontId="10" numFmtId="0" xfId="0" applyAlignment="1" applyBorder="1" applyFill="1" applyFont="1">
      <alignment horizontal="left" vertical="center"/>
    </xf>
    <xf borderId="20" fillId="30" fontId="2" numFmtId="165" xfId="0" applyAlignment="1" applyBorder="1" applyFont="1" applyNumberFormat="1">
      <alignment horizontal="center" vertical="center"/>
    </xf>
    <xf borderId="20" fillId="30" fontId="10" numFmtId="165" xfId="0" applyAlignment="1" applyBorder="1" applyFont="1" applyNumberFormat="1">
      <alignment horizontal="center" vertical="center"/>
    </xf>
    <xf borderId="29" fillId="27" fontId="11" numFmtId="0" xfId="0" applyAlignment="1" applyBorder="1" applyFont="1">
      <alignment horizontal="center" shrinkToFit="0" vertical="center" wrapText="1"/>
    </xf>
    <xf borderId="0" fillId="0" fontId="16" numFmtId="0" xfId="0" applyFont="1"/>
    <xf borderId="29" fillId="3" fontId="17" numFmtId="0" xfId="0" applyAlignment="1" applyBorder="1" applyFont="1">
      <alignment horizontal="center" shrinkToFit="0" vertical="center" wrapText="1"/>
    </xf>
    <xf borderId="58" fillId="3" fontId="10" numFmtId="165" xfId="0" applyAlignment="1" applyBorder="1" applyFont="1" applyNumberFormat="1">
      <alignment horizontal="center" vertical="top"/>
    </xf>
    <xf borderId="59" fillId="0" fontId="4" numFmtId="0" xfId="0" applyBorder="1" applyFont="1"/>
    <xf borderId="60" fillId="3" fontId="10" numFmtId="165" xfId="0" applyAlignment="1" applyBorder="1" applyFont="1" applyNumberFormat="1">
      <alignment horizontal="center" vertical="top"/>
    </xf>
    <xf borderId="61" fillId="0" fontId="4" numFmtId="0" xfId="0" applyBorder="1" applyFont="1"/>
    <xf borderId="62" fillId="0" fontId="4" numFmtId="0" xfId="0" applyBorder="1" applyFont="1"/>
    <xf borderId="63" fillId="0" fontId="4" numFmtId="0" xfId="0" applyBorder="1" applyFont="1"/>
    <xf borderId="3" fillId="3" fontId="9" numFmtId="165" xfId="0" applyAlignment="1" applyBorder="1" applyFont="1" applyNumberFormat="1">
      <alignment horizontal="center" readingOrder="0" vertical="center"/>
    </xf>
    <xf borderId="64" fillId="31" fontId="12" numFmtId="0" xfId="0" applyAlignment="1" applyBorder="1" applyFill="1" applyFont="1">
      <alignment horizontal="center" shrinkToFit="0" vertical="center" wrapText="1"/>
    </xf>
    <xf borderId="43" fillId="2" fontId="3" numFmtId="0" xfId="0" applyAlignment="1" applyBorder="1" applyFont="1">
      <alignment horizontal="center" readingOrder="0" shrinkToFit="0" vertical="center" wrapText="1"/>
    </xf>
    <xf borderId="20" fillId="18" fontId="10" numFmtId="0" xfId="0" applyAlignment="1" applyBorder="1" applyFont="1">
      <alignment vertical="center"/>
    </xf>
    <xf borderId="20" fillId="18" fontId="2" numFmtId="165" xfId="0" applyAlignment="1" applyBorder="1" applyFont="1" applyNumberFormat="1">
      <alignment vertical="center"/>
    </xf>
    <xf borderId="20" fillId="18" fontId="12" numFmtId="165" xfId="0" applyAlignment="1" applyBorder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center"/>
    </xf>
    <xf borderId="20" fillId="31" fontId="10" numFmtId="0" xfId="0" applyAlignment="1" applyBorder="1" applyFont="1">
      <alignment vertical="center"/>
    </xf>
    <xf borderId="20" fillId="31" fontId="2" numFmtId="165" xfId="0" applyAlignment="1" applyBorder="1" applyFont="1" applyNumberFormat="1">
      <alignment vertical="center"/>
    </xf>
    <xf borderId="20" fillId="31" fontId="12" numFmtId="165" xfId="0" applyAlignment="1" applyBorder="1" applyFont="1" applyNumberFormat="1">
      <alignment vertical="center"/>
    </xf>
    <xf borderId="43" fillId="2" fontId="6" numFmtId="0" xfId="0" applyAlignment="1" applyBorder="1" applyFont="1">
      <alignment horizontal="center" shrinkToFit="0" vertical="center" wrapText="1"/>
    </xf>
    <xf borderId="0" fillId="0" fontId="18" numFmtId="0" xfId="0" applyFont="1"/>
    <xf borderId="1" fillId="2" fontId="19" numFmtId="0" xfId="0" applyAlignment="1" applyBorder="1" applyFont="1">
      <alignment horizontal="center" vertical="center"/>
    </xf>
    <xf borderId="5" fillId="0" fontId="18" numFmtId="0" xfId="0" applyBorder="1" applyFont="1"/>
    <xf borderId="58" fillId="6" fontId="20" numFmtId="0" xfId="0" applyAlignment="1" applyBorder="1" applyFont="1">
      <alignment horizontal="center" shrinkToFit="0" vertical="center" wrapText="1"/>
    </xf>
    <xf borderId="65" fillId="0" fontId="4" numFmtId="0" xfId="0" applyBorder="1" applyFont="1"/>
    <xf borderId="15" fillId="6" fontId="21" numFmtId="165" xfId="0" applyAlignment="1" applyBorder="1" applyFont="1" applyNumberFormat="1">
      <alignment horizontal="left" readingOrder="0" vertical="center"/>
    </xf>
    <xf borderId="6" fillId="5" fontId="22" numFmtId="0" xfId="0" applyAlignment="1" applyBorder="1" applyFont="1">
      <alignment horizontal="center" shrinkToFit="0" vertical="center" wrapText="1"/>
    </xf>
    <xf borderId="16" fillId="6" fontId="22" numFmtId="0" xfId="0" applyAlignment="1" applyBorder="1" applyFont="1">
      <alignment horizontal="left"/>
    </xf>
    <xf borderId="16" fillId="6" fontId="21" numFmtId="165" xfId="0" applyAlignment="1" applyBorder="1" applyFont="1" applyNumberFormat="1">
      <alignment horizontal="center" readingOrder="0"/>
    </xf>
    <xf borderId="0" fillId="0" fontId="18" numFmtId="165" xfId="0" applyFont="1" applyNumberFormat="1"/>
    <xf borderId="20" fillId="0" fontId="18" numFmtId="0" xfId="0" applyBorder="1" applyFont="1"/>
    <xf borderId="60" fillId="0" fontId="4" numFmtId="0" xfId="0" applyBorder="1" applyFont="1"/>
    <xf borderId="26" fillId="6" fontId="22" numFmtId="0" xfId="0" applyAlignment="1" applyBorder="1" applyFont="1">
      <alignment horizontal="left"/>
    </xf>
    <xf borderId="26" fillId="6" fontId="21" numFmtId="165" xfId="0" applyAlignment="1" applyBorder="1" applyFont="1" applyNumberFormat="1">
      <alignment horizontal="center" readingOrder="0"/>
    </xf>
    <xf borderId="27" fillId="0" fontId="18" numFmtId="0" xfId="0" applyBorder="1" applyFont="1"/>
    <xf borderId="46" fillId="0" fontId="18" numFmtId="0" xfId="0" applyBorder="1" applyFont="1"/>
    <xf borderId="26" fillId="6" fontId="22" numFmtId="165" xfId="0" applyAlignment="1" applyBorder="1" applyFont="1" applyNumberFormat="1">
      <alignment horizontal="center"/>
    </xf>
    <xf borderId="66" fillId="0" fontId="4" numFmtId="0" xfId="0" applyBorder="1" applyFont="1"/>
    <xf borderId="28" fillId="0" fontId="18" numFmtId="0" xfId="0" applyBorder="1" applyFont="1"/>
    <xf borderId="7" fillId="7" fontId="22" numFmtId="0" xfId="0" applyAlignment="1" applyBorder="1" applyFont="1">
      <alignment horizontal="center" shrinkToFit="0" vertical="center" wrapText="1"/>
    </xf>
    <xf borderId="26" fillId="8" fontId="22" numFmtId="0" xfId="0" applyAlignment="1" applyBorder="1" applyFont="1">
      <alignment horizontal="left"/>
    </xf>
    <xf borderId="26" fillId="8" fontId="22" numFmtId="165" xfId="0" applyAlignment="1" applyBorder="1" applyFont="1" applyNumberFormat="1">
      <alignment horizontal="center"/>
    </xf>
    <xf borderId="20" fillId="0" fontId="18" numFmtId="0" xfId="0" applyAlignment="1" applyBorder="1" applyFont="1">
      <alignment horizontal="center" vertical="center"/>
    </xf>
    <xf borderId="19" fillId="6" fontId="20" numFmtId="0" xfId="0" applyAlignment="1" applyBorder="1" applyFont="1">
      <alignment horizontal="center" shrinkToFit="0" vertical="center" wrapText="1"/>
    </xf>
    <xf borderId="7" fillId="6" fontId="21" numFmtId="165" xfId="0" applyAlignment="1" applyBorder="1" applyFont="1" applyNumberFormat="1">
      <alignment horizontal="center" readingOrder="0" vertical="center"/>
    </xf>
    <xf borderId="26" fillId="8" fontId="21" numFmtId="165" xfId="0" applyAlignment="1" applyBorder="1" applyFont="1" applyNumberFormat="1">
      <alignment horizontal="center" readingOrder="0"/>
    </xf>
    <xf borderId="28" fillId="0" fontId="23" numFmtId="0" xfId="0" applyBorder="1" applyFont="1"/>
    <xf borderId="67" fillId="0" fontId="4" numFmtId="0" xfId="0" applyBorder="1" applyFont="1"/>
    <xf borderId="68" fillId="0" fontId="4" numFmtId="0" xfId="0" applyBorder="1" applyFont="1"/>
    <xf borderId="26" fillId="0" fontId="18" numFmtId="0" xfId="0" applyBorder="1" applyFont="1"/>
    <xf borderId="41" fillId="15" fontId="18" numFmtId="0" xfId="0" applyAlignment="1" applyBorder="1" applyFont="1">
      <alignment horizontal="center"/>
    </xf>
    <xf borderId="51" fillId="15" fontId="18" numFmtId="0" xfId="0" applyAlignment="1" applyBorder="1" applyFont="1">
      <alignment horizontal="center"/>
    </xf>
    <xf borderId="52" fillId="15" fontId="18" numFmtId="0" xfId="0" applyAlignment="1" applyBorder="1" applyFont="1">
      <alignment horizontal="center"/>
    </xf>
    <xf borderId="41" fillId="15" fontId="18" numFmtId="164" xfId="0" applyAlignment="1" applyBorder="1" applyFont="1" applyNumberFormat="1">
      <alignment horizontal="center"/>
    </xf>
    <xf borderId="20" fillId="9" fontId="18" numFmtId="9" xfId="0" applyAlignment="1" applyBorder="1" applyFont="1" applyNumberFormat="1">
      <alignment horizontal="center" vertical="center"/>
    </xf>
    <xf borderId="20" fillId="0" fontId="18" numFmtId="166" xfId="0" applyBorder="1" applyFont="1" applyNumberFormat="1"/>
    <xf borderId="20" fillId="0" fontId="18" numFmtId="167" xfId="0" applyBorder="1" applyFont="1" applyNumberFormat="1"/>
    <xf borderId="40" fillId="10" fontId="24" numFmtId="0" xfId="0" applyAlignment="1" applyBorder="1" applyFont="1">
      <alignment horizontal="center" vertical="center"/>
    </xf>
    <xf borderId="20" fillId="10" fontId="24" numFmtId="0" xfId="0" applyAlignment="1" applyBorder="1" applyFont="1">
      <alignment horizontal="center" vertical="center"/>
    </xf>
    <xf borderId="41" fillId="10" fontId="24" numFmtId="0" xfId="0" applyAlignment="1" applyBorder="1" applyFont="1">
      <alignment horizontal="center" vertical="center"/>
    </xf>
    <xf borderId="0" fillId="0" fontId="25" numFmtId="0" xfId="0" applyAlignment="1" applyFont="1">
      <alignment horizontal="center"/>
    </xf>
    <xf borderId="27" fillId="0" fontId="18" numFmtId="0" xfId="0" applyAlignment="1" applyBorder="1" applyFont="1">
      <alignment horizontal="center"/>
    </xf>
    <xf borderId="0" fillId="0" fontId="18" numFmtId="165" xfId="0" applyAlignment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2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</xdr:row>
      <xdr:rowOff>0</xdr:rowOff>
    </xdr:from>
    <xdr:ext cx="2390775" cy="790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161925</xdr:rowOff>
    </xdr:from>
    <xdr:ext cx="2200275" cy="762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0</xdr:row>
      <xdr:rowOff>161925</xdr:rowOff>
    </xdr:from>
    <xdr:ext cx="2200275" cy="762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0</xdr:row>
      <xdr:rowOff>161925</xdr:rowOff>
    </xdr:from>
    <xdr:ext cx="2200275" cy="762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171450</xdr:rowOff>
    </xdr:from>
    <xdr:ext cx="2352675" cy="7905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171450</xdr:rowOff>
    </xdr:from>
    <xdr:ext cx="2333625" cy="762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161925</xdr:rowOff>
    </xdr:from>
    <xdr:ext cx="2200275" cy="762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F49100"/>
      </a:folHlink>
    </a:clrScheme>
    <a:fontScheme name="Sheets">
      <a:majorFont>
        <a:latin typeface="Candara"/>
        <a:ea typeface="Candara"/>
        <a:cs typeface="Candara"/>
      </a:majorFont>
      <a:minorFont>
        <a:latin typeface="Candara"/>
        <a:ea typeface="Candara"/>
        <a:cs typeface="Candar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23.25"/>
    <col customWidth="1" min="3" max="3" width="17.0"/>
    <col customWidth="1" min="4" max="6" width="10.13"/>
    <col customWidth="1" min="7" max="7" width="11.0"/>
    <col customWidth="1" min="8" max="10" width="10.13"/>
    <col customWidth="1" min="11" max="11" width="11.0"/>
    <col customWidth="1" min="12" max="14" width="10.13"/>
    <col customWidth="1" min="15" max="15" width="11.0"/>
    <col customWidth="1" min="16" max="17" width="10.13"/>
    <col customWidth="1" min="18" max="18" width="11.5"/>
    <col customWidth="1" min="19" max="19" width="12.38"/>
    <col customWidth="1" min="20" max="22" width="11.5"/>
    <col customWidth="1" min="23" max="23" width="12.38"/>
    <col customWidth="1" min="24" max="26" width="11.5"/>
    <col customWidth="1" min="27" max="27" width="12.38"/>
    <col customWidth="1" min="29" max="29" width="9.0"/>
    <col customWidth="1" min="30" max="30" width="1.13"/>
  </cols>
  <sheetData>
    <row r="1" ht="15.0" customHeight="1">
      <c r="A1" s="1" t="s">
        <v>0</v>
      </c>
      <c r="AB1" s="2"/>
      <c r="AC1" s="2"/>
      <c r="AD1" s="2"/>
    </row>
    <row r="2" ht="15.0" customHeight="1">
      <c r="AB2" s="2"/>
      <c r="AC2" s="2"/>
      <c r="AD2" s="2"/>
    </row>
    <row r="3" ht="15.0" customHeight="1">
      <c r="AB3" s="2"/>
      <c r="AC3" s="2"/>
      <c r="AD3" s="2"/>
    </row>
    <row r="4" ht="15.0" customHeight="1">
      <c r="AB4" s="2"/>
      <c r="AC4" s="2"/>
      <c r="AD4" s="2"/>
    </row>
    <row r="5" ht="15.0" customHeight="1">
      <c r="AB5" s="2"/>
      <c r="AC5" s="2"/>
      <c r="AD5" s="2"/>
    </row>
    <row r="6" ht="15.0" customHeight="1">
      <c r="AB6" s="2"/>
      <c r="AC6" s="2"/>
      <c r="AD6" s="2"/>
    </row>
    <row r="7" ht="15.75" customHeight="1">
      <c r="A7" s="3" t="s">
        <v>1</v>
      </c>
      <c r="B7" s="4"/>
      <c r="C7" s="5" t="s">
        <v>2</v>
      </c>
      <c r="D7" s="6"/>
      <c r="E7" s="7"/>
      <c r="F7" s="8" t="s">
        <v>3</v>
      </c>
      <c r="G7" s="4"/>
      <c r="H7" s="9" t="str">
        <f>A17</f>
        <v>IELTS</v>
      </c>
      <c r="I7" s="10"/>
      <c r="J7" s="11" t="str">
        <f>B17</f>
        <v>IELTS INTENSIVE</v>
      </c>
      <c r="K7" s="12"/>
      <c r="L7" s="12"/>
      <c r="M7" s="13"/>
      <c r="N7" s="14">
        <v>1200.0</v>
      </c>
      <c r="O7" s="15"/>
      <c r="P7" s="16"/>
      <c r="Q7" s="7"/>
      <c r="R7" s="17" t="s">
        <v>4</v>
      </c>
      <c r="S7" s="18"/>
      <c r="T7" s="4"/>
      <c r="U7" s="19" t="s">
        <v>5</v>
      </c>
      <c r="V7" s="20"/>
      <c r="W7" s="20"/>
      <c r="X7" s="21"/>
      <c r="Y7" s="22">
        <v>1400.0</v>
      </c>
      <c r="Z7" s="20"/>
      <c r="AA7" s="20"/>
      <c r="AB7" s="23"/>
      <c r="AC7" s="2"/>
      <c r="AD7" s="2"/>
    </row>
    <row r="8" ht="15.75" customHeight="1">
      <c r="A8" s="24"/>
      <c r="B8" s="6"/>
      <c r="C8" s="25"/>
      <c r="D8" s="6"/>
      <c r="E8" s="26"/>
      <c r="F8" s="25"/>
      <c r="G8" s="6"/>
      <c r="H8" s="25"/>
      <c r="I8" s="6"/>
      <c r="J8" s="27"/>
      <c r="K8" s="28"/>
      <c r="L8" s="28"/>
      <c r="M8" s="29"/>
      <c r="N8" s="25"/>
      <c r="O8" s="30"/>
      <c r="P8" s="31"/>
      <c r="Q8" s="26"/>
      <c r="R8" s="25"/>
      <c r="T8" s="6"/>
      <c r="U8" s="32" t="s">
        <v>6</v>
      </c>
      <c r="V8" s="33"/>
      <c r="W8" s="33"/>
      <c r="X8" s="34"/>
      <c r="Y8" s="35">
        <v>970.0</v>
      </c>
      <c r="Z8" s="33"/>
      <c r="AA8" s="33"/>
      <c r="AB8" s="23"/>
      <c r="AC8" s="2"/>
      <c r="AD8" s="2"/>
    </row>
    <row r="9" ht="15.75" customHeight="1">
      <c r="A9" s="24"/>
      <c r="B9" s="6"/>
      <c r="C9" s="25"/>
      <c r="D9" s="6"/>
      <c r="E9" s="26"/>
      <c r="F9" s="25"/>
      <c r="G9" s="6"/>
      <c r="H9" s="25"/>
      <c r="I9" s="6"/>
      <c r="J9" s="36" t="str">
        <f>B23</f>
        <v>IELTS GUARANTEE 12 WEEKS</v>
      </c>
      <c r="K9" s="37"/>
      <c r="L9" s="37"/>
      <c r="M9" s="37"/>
      <c r="N9" s="38">
        <v>1420.0</v>
      </c>
      <c r="O9" s="39"/>
      <c r="P9" s="40"/>
      <c r="Q9" s="26"/>
      <c r="R9" s="41"/>
      <c r="S9" s="28"/>
      <c r="T9" s="29"/>
      <c r="U9" s="32" t="s">
        <v>7</v>
      </c>
      <c r="V9" s="33"/>
      <c r="W9" s="33"/>
      <c r="X9" s="34"/>
      <c r="Y9" s="42">
        <v>810.0</v>
      </c>
      <c r="Z9" s="33"/>
      <c r="AA9" s="33"/>
      <c r="AB9" s="23"/>
      <c r="AC9" s="2"/>
      <c r="AD9" s="2"/>
    </row>
    <row r="10" ht="15.75" customHeight="1">
      <c r="A10" s="24"/>
      <c r="B10" s="6"/>
      <c r="C10" s="25"/>
      <c r="D10" s="6"/>
      <c r="E10" s="26"/>
      <c r="F10" s="25"/>
      <c r="G10" s="6"/>
      <c r="H10" s="25"/>
      <c r="I10" s="6"/>
      <c r="J10" s="27"/>
      <c r="K10" s="28"/>
      <c r="L10" s="28"/>
      <c r="M10" s="28"/>
      <c r="N10" s="41"/>
      <c r="O10" s="43"/>
      <c r="P10" s="44"/>
      <c r="Q10" s="26"/>
      <c r="R10" s="45" t="s">
        <v>8</v>
      </c>
      <c r="S10" s="37"/>
      <c r="T10" s="10"/>
      <c r="U10" s="46" t="s">
        <v>9</v>
      </c>
      <c r="V10" s="33"/>
      <c r="W10" s="33"/>
      <c r="X10" s="34"/>
      <c r="Y10" s="47">
        <v>1690.0</v>
      </c>
      <c r="Z10" s="33"/>
      <c r="AA10" s="33"/>
      <c r="AB10" s="23"/>
      <c r="AC10" s="2"/>
      <c r="AD10" s="2"/>
    </row>
    <row r="11" ht="15.75" customHeight="1">
      <c r="A11" s="24"/>
      <c r="B11" s="6"/>
      <c r="C11" s="25"/>
      <c r="D11" s="6"/>
      <c r="E11" s="48"/>
      <c r="F11" s="25"/>
      <c r="G11" s="6"/>
      <c r="H11" s="25"/>
      <c r="I11" s="6"/>
      <c r="J11" s="36" t="str">
        <f>B26</f>
        <v>IELTS GUARANTEE 8 WEEKS</v>
      </c>
      <c r="K11" s="37"/>
      <c r="L11" s="37"/>
      <c r="M11" s="37"/>
      <c r="N11" s="49">
        <v>1580.0</v>
      </c>
      <c r="O11" s="50"/>
      <c r="P11" s="44"/>
      <c r="Q11" s="26"/>
      <c r="R11" s="25"/>
      <c r="T11" s="6"/>
      <c r="U11" s="46" t="s">
        <v>10</v>
      </c>
      <c r="V11" s="33"/>
      <c r="W11" s="33"/>
      <c r="X11" s="34"/>
      <c r="Y11" s="51">
        <v>1100.0</v>
      </c>
      <c r="Z11" s="33"/>
      <c r="AA11" s="33"/>
      <c r="AB11" s="23"/>
      <c r="AC11" s="2"/>
      <c r="AD11" s="2"/>
    </row>
    <row r="12" ht="15.75" customHeight="1">
      <c r="A12" s="27"/>
      <c r="B12" s="29"/>
      <c r="C12" s="41"/>
      <c r="D12" s="29"/>
      <c r="E12" s="48"/>
      <c r="F12" s="41"/>
      <c r="G12" s="29"/>
      <c r="H12" s="25"/>
      <c r="I12" s="6"/>
      <c r="J12" s="52"/>
      <c r="K12" s="53"/>
      <c r="L12" s="53"/>
      <c r="M12" s="53"/>
      <c r="N12" s="54"/>
      <c r="O12" s="55"/>
      <c r="P12" s="44"/>
      <c r="Q12" s="26"/>
      <c r="R12" s="41"/>
      <c r="S12" s="28"/>
      <c r="T12" s="29"/>
      <c r="U12" s="46" t="s">
        <v>11</v>
      </c>
      <c r="V12" s="33"/>
      <c r="W12" s="33"/>
      <c r="X12" s="34"/>
      <c r="Y12" s="47">
        <v>890.0</v>
      </c>
      <c r="Z12" s="33"/>
      <c r="AA12" s="33"/>
      <c r="AB12" s="23"/>
      <c r="AC12" s="2"/>
      <c r="AD12" s="2"/>
    </row>
    <row r="13" ht="15.0" customHeight="1">
      <c r="A13" s="44"/>
      <c r="B13" s="26"/>
      <c r="C13" s="26"/>
      <c r="D13" s="26"/>
      <c r="E13" s="26"/>
      <c r="F13" s="26"/>
      <c r="G13" s="26"/>
      <c r="H13" s="26"/>
      <c r="I13" s="26"/>
      <c r="J13" s="7"/>
      <c r="K13" s="7"/>
      <c r="L13" s="7"/>
      <c r="M13" s="7"/>
      <c r="N13" s="7"/>
      <c r="O13" s="7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56"/>
      <c r="AB13" s="2"/>
      <c r="AC13" s="2"/>
      <c r="AD13" s="2"/>
    </row>
    <row r="14" ht="21.0" customHeight="1">
      <c r="A14" s="44"/>
      <c r="B14" s="26"/>
      <c r="C14" s="26"/>
      <c r="D14" s="57">
        <v>0.45</v>
      </c>
      <c r="E14" s="57">
        <v>0.65</v>
      </c>
      <c r="F14" s="57">
        <v>0.85</v>
      </c>
      <c r="G14" s="26"/>
      <c r="H14" s="58"/>
      <c r="I14" s="59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56"/>
      <c r="AB14" s="2"/>
      <c r="AC14" s="2"/>
      <c r="AD14" s="2"/>
    </row>
    <row r="15" ht="21.0" customHeight="1">
      <c r="A15" s="60" t="s">
        <v>12</v>
      </c>
      <c r="B15" s="34"/>
      <c r="C15" s="61" t="s">
        <v>13</v>
      </c>
      <c r="D15" s="61" t="s">
        <v>14</v>
      </c>
      <c r="E15" s="61" t="s">
        <v>15</v>
      </c>
      <c r="F15" s="61" t="s">
        <v>16</v>
      </c>
      <c r="G15" s="61" t="s">
        <v>17</v>
      </c>
      <c r="H15" s="61" t="s">
        <v>18</v>
      </c>
      <c r="I15" s="61" t="s">
        <v>19</v>
      </c>
      <c r="J15" s="61" t="s">
        <v>20</v>
      </c>
      <c r="K15" s="61" t="s">
        <v>21</v>
      </c>
      <c r="L15" s="61" t="s">
        <v>22</v>
      </c>
      <c r="M15" s="61" t="s">
        <v>23</v>
      </c>
      <c r="N15" s="61" t="s">
        <v>24</v>
      </c>
      <c r="O15" s="61" t="s">
        <v>25</v>
      </c>
      <c r="P15" s="61" t="s">
        <v>26</v>
      </c>
      <c r="Q15" s="61" t="s">
        <v>27</v>
      </c>
      <c r="R15" s="61" t="s">
        <v>28</v>
      </c>
      <c r="S15" s="61" t="s">
        <v>29</v>
      </c>
      <c r="T15" s="61" t="s">
        <v>30</v>
      </c>
      <c r="U15" s="61" t="s">
        <v>31</v>
      </c>
      <c r="V15" s="61" t="s">
        <v>32</v>
      </c>
      <c r="W15" s="61" t="s">
        <v>33</v>
      </c>
      <c r="X15" s="61" t="s">
        <v>34</v>
      </c>
      <c r="Y15" s="61" t="s">
        <v>35</v>
      </c>
      <c r="Z15" s="61" t="s">
        <v>36</v>
      </c>
      <c r="AA15" s="62" t="s">
        <v>37</v>
      </c>
      <c r="AB15" s="63"/>
      <c r="AC15" s="63"/>
      <c r="AD15" s="63"/>
    </row>
    <row r="16" ht="4.5" customHeight="1">
      <c r="A16" s="64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4"/>
      <c r="AB16" s="2"/>
      <c r="AC16" s="2"/>
      <c r="AD16" s="2"/>
    </row>
    <row r="17" ht="21.75" customHeight="1">
      <c r="A17" s="65" t="s">
        <v>38</v>
      </c>
      <c r="B17" s="66" t="s">
        <v>39</v>
      </c>
      <c r="C17" s="67" t="s">
        <v>5</v>
      </c>
      <c r="D17" s="68">
        <f>G17*D14</f>
        <v>1170</v>
      </c>
      <c r="E17" s="69">
        <f>G17*E14</f>
        <v>1690</v>
      </c>
      <c r="F17" s="69">
        <f>G17*F14</f>
        <v>2210</v>
      </c>
      <c r="G17" s="70">
        <f>N7+Y7</f>
        <v>2600</v>
      </c>
      <c r="H17" s="69">
        <f t="shared" ref="H17:H22" si="1">G17+(G17*0.25)</f>
        <v>3250</v>
      </c>
      <c r="I17" s="69">
        <f t="shared" ref="I17:I22" si="2">G17+(G17*0.5)</f>
        <v>3900</v>
      </c>
      <c r="J17" s="69">
        <f t="shared" ref="J17:J22" si="3">G17+(G17*0.75)</f>
        <v>4550</v>
      </c>
      <c r="K17" s="70">
        <f t="shared" ref="K17:K22" si="4">G17*2</f>
        <v>5200</v>
      </c>
      <c r="L17" s="69">
        <f t="shared" ref="L17:L22" si="5">K17+(G17*0.25)</f>
        <v>5850</v>
      </c>
      <c r="M17" s="69">
        <f t="shared" ref="M17:M22" si="6">K17+(G17*0.5)</f>
        <v>6500</v>
      </c>
      <c r="N17" s="69">
        <f t="shared" ref="N17:N22" si="7">K17+(G17*0.75)</f>
        <v>7150</v>
      </c>
      <c r="O17" s="70">
        <f t="shared" ref="O17:O22" si="8">G17*3</f>
        <v>7800</v>
      </c>
      <c r="P17" s="69">
        <f t="shared" ref="P17:P22" si="9">O17+(G17*0.25)</f>
        <v>8450</v>
      </c>
      <c r="Q17" s="69">
        <f t="shared" ref="Q17:Q22" si="10">O17+(G17*0.5)</f>
        <v>9100</v>
      </c>
      <c r="R17" s="69">
        <f t="shared" ref="R17:R22" si="11">O17+(G17*0.75)</f>
        <v>9750</v>
      </c>
      <c r="S17" s="70">
        <f t="shared" ref="S17:S22" si="12">G17*4</f>
        <v>10400</v>
      </c>
      <c r="T17" s="69">
        <f t="shared" ref="T17:T22" si="13">S17+(G17*0.25)</f>
        <v>11050</v>
      </c>
      <c r="U17" s="69">
        <f t="shared" ref="U17:U22" si="14">S17+(G17*0.5)</f>
        <v>11700</v>
      </c>
      <c r="V17" s="69">
        <f t="shared" ref="V17:V22" si="15">S17+(G17*0.75)</f>
        <v>12350</v>
      </c>
      <c r="W17" s="70">
        <f t="shared" ref="W17:W22" si="16">G17*5</f>
        <v>13000</v>
      </c>
      <c r="X17" s="69">
        <f t="shared" ref="X17:X22" si="17">W17+(G17*0.25)</f>
        <v>13650</v>
      </c>
      <c r="Y17" s="69">
        <f t="shared" ref="Y17:Y22" si="18">W17+(G17*0.5)</f>
        <v>14300</v>
      </c>
      <c r="Z17" s="69">
        <f t="shared" ref="Z17:Z22" si="19">W17+(G17*0.75)</f>
        <v>14950</v>
      </c>
      <c r="AA17" s="71">
        <f t="shared" ref="AA17:AA22" si="20">G17*6</f>
        <v>15600</v>
      </c>
      <c r="AB17" s="72"/>
      <c r="AC17" s="72"/>
      <c r="AD17" s="73"/>
    </row>
    <row r="18" ht="21.75" customHeight="1">
      <c r="A18" s="74"/>
      <c r="B18" s="75"/>
      <c r="C18" s="76" t="s">
        <v>40</v>
      </c>
      <c r="D18" s="77">
        <f>G18*D14</f>
        <v>976.5</v>
      </c>
      <c r="E18" s="77">
        <f>G18*E14</f>
        <v>1410.5</v>
      </c>
      <c r="F18" s="77">
        <f>G18*F14</f>
        <v>1844.5</v>
      </c>
      <c r="G18" s="78">
        <f>N7+Y8</f>
        <v>2170</v>
      </c>
      <c r="H18" s="77">
        <f t="shared" si="1"/>
        <v>2712.5</v>
      </c>
      <c r="I18" s="77">
        <f t="shared" si="2"/>
        <v>3255</v>
      </c>
      <c r="J18" s="77">
        <f t="shared" si="3"/>
        <v>3797.5</v>
      </c>
      <c r="K18" s="78">
        <f t="shared" si="4"/>
        <v>4340</v>
      </c>
      <c r="L18" s="77">
        <f t="shared" si="5"/>
        <v>4882.5</v>
      </c>
      <c r="M18" s="77">
        <f t="shared" si="6"/>
        <v>5425</v>
      </c>
      <c r="N18" s="77">
        <f t="shared" si="7"/>
        <v>5967.5</v>
      </c>
      <c r="O18" s="78">
        <f t="shared" si="8"/>
        <v>6510</v>
      </c>
      <c r="P18" s="77">
        <f t="shared" si="9"/>
        <v>7052.5</v>
      </c>
      <c r="Q18" s="77">
        <f t="shared" si="10"/>
        <v>7595</v>
      </c>
      <c r="R18" s="77">
        <f t="shared" si="11"/>
        <v>8137.5</v>
      </c>
      <c r="S18" s="78">
        <f t="shared" si="12"/>
        <v>8680</v>
      </c>
      <c r="T18" s="77">
        <f t="shared" si="13"/>
        <v>9222.5</v>
      </c>
      <c r="U18" s="77">
        <f t="shared" si="14"/>
        <v>9765</v>
      </c>
      <c r="V18" s="77">
        <f t="shared" si="15"/>
        <v>10307.5</v>
      </c>
      <c r="W18" s="78">
        <f t="shared" si="16"/>
        <v>10850</v>
      </c>
      <c r="X18" s="77">
        <f t="shared" si="17"/>
        <v>11392.5</v>
      </c>
      <c r="Y18" s="77">
        <f t="shared" si="18"/>
        <v>11935</v>
      </c>
      <c r="Z18" s="77">
        <f t="shared" si="19"/>
        <v>12477.5</v>
      </c>
      <c r="AA18" s="78">
        <f t="shared" si="20"/>
        <v>13020</v>
      </c>
      <c r="AB18" s="72"/>
      <c r="AC18" s="72"/>
      <c r="AD18" s="73"/>
    </row>
    <row r="19" ht="21.75" customHeight="1">
      <c r="A19" s="74"/>
      <c r="B19" s="75"/>
      <c r="C19" s="79" t="s">
        <v>7</v>
      </c>
      <c r="D19" s="80">
        <f>G19*D14</f>
        <v>904.5</v>
      </c>
      <c r="E19" s="80">
        <f>G19*E14</f>
        <v>1306.5</v>
      </c>
      <c r="F19" s="80">
        <f>G19*F14</f>
        <v>1708.5</v>
      </c>
      <c r="G19" s="81">
        <f>N7+Y9</f>
        <v>2010</v>
      </c>
      <c r="H19" s="80">
        <f t="shared" si="1"/>
        <v>2512.5</v>
      </c>
      <c r="I19" s="80">
        <f t="shared" si="2"/>
        <v>3015</v>
      </c>
      <c r="J19" s="80">
        <f t="shared" si="3"/>
        <v>3517.5</v>
      </c>
      <c r="K19" s="81">
        <f t="shared" si="4"/>
        <v>4020</v>
      </c>
      <c r="L19" s="80">
        <f t="shared" si="5"/>
        <v>4522.5</v>
      </c>
      <c r="M19" s="80">
        <f t="shared" si="6"/>
        <v>5025</v>
      </c>
      <c r="N19" s="80">
        <f t="shared" si="7"/>
        <v>5527.5</v>
      </c>
      <c r="O19" s="81">
        <f t="shared" si="8"/>
        <v>6030</v>
      </c>
      <c r="P19" s="80">
        <f t="shared" si="9"/>
        <v>6532.5</v>
      </c>
      <c r="Q19" s="80">
        <f t="shared" si="10"/>
        <v>7035</v>
      </c>
      <c r="R19" s="80">
        <f t="shared" si="11"/>
        <v>7537.5</v>
      </c>
      <c r="S19" s="81">
        <f t="shared" si="12"/>
        <v>8040</v>
      </c>
      <c r="T19" s="80">
        <f t="shared" si="13"/>
        <v>8542.5</v>
      </c>
      <c r="U19" s="80">
        <f t="shared" si="14"/>
        <v>9045</v>
      </c>
      <c r="V19" s="80">
        <f t="shared" si="15"/>
        <v>9547.5</v>
      </c>
      <c r="W19" s="81">
        <f t="shared" si="16"/>
        <v>10050</v>
      </c>
      <c r="X19" s="80">
        <f t="shared" si="17"/>
        <v>10552.5</v>
      </c>
      <c r="Y19" s="80">
        <f t="shared" si="18"/>
        <v>11055</v>
      </c>
      <c r="Z19" s="80">
        <f t="shared" si="19"/>
        <v>11557.5</v>
      </c>
      <c r="AA19" s="82">
        <f t="shared" si="20"/>
        <v>12060</v>
      </c>
      <c r="AB19" s="72"/>
      <c r="AC19" s="72"/>
      <c r="AD19" s="73"/>
    </row>
    <row r="20" ht="21.75" customHeight="1">
      <c r="A20" s="74"/>
      <c r="B20" s="75"/>
      <c r="C20" s="67" t="s">
        <v>9</v>
      </c>
      <c r="D20" s="69">
        <f>G20*D14</f>
        <v>1300.5</v>
      </c>
      <c r="E20" s="69">
        <f>G20*E14</f>
        <v>1878.5</v>
      </c>
      <c r="F20" s="69">
        <f>G20*F14</f>
        <v>2456.5</v>
      </c>
      <c r="G20" s="70">
        <f>N7+Y10</f>
        <v>2890</v>
      </c>
      <c r="H20" s="69">
        <f t="shared" si="1"/>
        <v>3612.5</v>
      </c>
      <c r="I20" s="69">
        <f t="shared" si="2"/>
        <v>4335</v>
      </c>
      <c r="J20" s="69">
        <f t="shared" si="3"/>
        <v>5057.5</v>
      </c>
      <c r="K20" s="70">
        <f t="shared" si="4"/>
        <v>5780</v>
      </c>
      <c r="L20" s="69">
        <f t="shared" si="5"/>
        <v>6502.5</v>
      </c>
      <c r="M20" s="69">
        <f t="shared" si="6"/>
        <v>7225</v>
      </c>
      <c r="N20" s="69">
        <f t="shared" si="7"/>
        <v>7947.5</v>
      </c>
      <c r="O20" s="70">
        <f t="shared" si="8"/>
        <v>8670</v>
      </c>
      <c r="P20" s="69">
        <f t="shared" si="9"/>
        <v>9392.5</v>
      </c>
      <c r="Q20" s="69">
        <f t="shared" si="10"/>
        <v>10115</v>
      </c>
      <c r="R20" s="69">
        <f t="shared" si="11"/>
        <v>10837.5</v>
      </c>
      <c r="S20" s="70">
        <f t="shared" si="12"/>
        <v>11560</v>
      </c>
      <c r="T20" s="69">
        <f t="shared" si="13"/>
        <v>12282.5</v>
      </c>
      <c r="U20" s="69">
        <f t="shared" si="14"/>
        <v>13005</v>
      </c>
      <c r="V20" s="69">
        <f t="shared" si="15"/>
        <v>13727.5</v>
      </c>
      <c r="W20" s="70">
        <f t="shared" si="16"/>
        <v>14450</v>
      </c>
      <c r="X20" s="69">
        <f t="shared" si="17"/>
        <v>15172.5</v>
      </c>
      <c r="Y20" s="69">
        <f t="shared" si="18"/>
        <v>15895</v>
      </c>
      <c r="Z20" s="69">
        <f t="shared" si="19"/>
        <v>16617.5</v>
      </c>
      <c r="AA20" s="71">
        <f t="shared" si="20"/>
        <v>17340</v>
      </c>
      <c r="AB20" s="72"/>
      <c r="AC20" s="72"/>
      <c r="AD20" s="73"/>
    </row>
    <row r="21" ht="21.75" customHeight="1">
      <c r="A21" s="74"/>
      <c r="B21" s="75"/>
      <c r="C21" s="76" t="s">
        <v>41</v>
      </c>
      <c r="D21" s="77">
        <f>G21*D14</f>
        <v>1035</v>
      </c>
      <c r="E21" s="77">
        <f>G21*E14</f>
        <v>1495</v>
      </c>
      <c r="F21" s="77">
        <f>G21*F14</f>
        <v>1955</v>
      </c>
      <c r="G21" s="78">
        <f>N7+Y11</f>
        <v>2300</v>
      </c>
      <c r="H21" s="77">
        <f t="shared" si="1"/>
        <v>2875</v>
      </c>
      <c r="I21" s="77">
        <f t="shared" si="2"/>
        <v>3450</v>
      </c>
      <c r="J21" s="77">
        <f t="shared" si="3"/>
        <v>4025</v>
      </c>
      <c r="K21" s="78">
        <f t="shared" si="4"/>
        <v>4600</v>
      </c>
      <c r="L21" s="77">
        <f t="shared" si="5"/>
        <v>5175</v>
      </c>
      <c r="M21" s="77">
        <f t="shared" si="6"/>
        <v>5750</v>
      </c>
      <c r="N21" s="77">
        <f t="shared" si="7"/>
        <v>6325</v>
      </c>
      <c r="O21" s="78">
        <f t="shared" si="8"/>
        <v>6900</v>
      </c>
      <c r="P21" s="77">
        <f t="shared" si="9"/>
        <v>7475</v>
      </c>
      <c r="Q21" s="77">
        <f t="shared" si="10"/>
        <v>8050</v>
      </c>
      <c r="R21" s="77">
        <f t="shared" si="11"/>
        <v>8625</v>
      </c>
      <c r="S21" s="78">
        <f t="shared" si="12"/>
        <v>9200</v>
      </c>
      <c r="T21" s="77">
        <f t="shared" si="13"/>
        <v>9775</v>
      </c>
      <c r="U21" s="77">
        <f t="shared" si="14"/>
        <v>10350</v>
      </c>
      <c r="V21" s="77">
        <f t="shared" si="15"/>
        <v>10925</v>
      </c>
      <c r="W21" s="78">
        <f t="shared" si="16"/>
        <v>11500</v>
      </c>
      <c r="X21" s="77">
        <f t="shared" si="17"/>
        <v>12075</v>
      </c>
      <c r="Y21" s="77">
        <f t="shared" si="18"/>
        <v>12650</v>
      </c>
      <c r="Z21" s="77">
        <f t="shared" si="19"/>
        <v>13225</v>
      </c>
      <c r="AA21" s="83">
        <f t="shared" si="20"/>
        <v>13800</v>
      </c>
      <c r="AB21" s="72"/>
      <c r="AC21" s="72"/>
      <c r="AD21" s="73"/>
    </row>
    <row r="22" ht="21.75" customHeight="1">
      <c r="A22" s="74"/>
      <c r="B22" s="84"/>
      <c r="C22" s="79" t="s">
        <v>11</v>
      </c>
      <c r="D22" s="80">
        <f>G22*D14</f>
        <v>940.5</v>
      </c>
      <c r="E22" s="80">
        <f>G22*E14</f>
        <v>1358.5</v>
      </c>
      <c r="F22" s="80">
        <f>G22*F14</f>
        <v>1776.5</v>
      </c>
      <c r="G22" s="81">
        <f>N7+Y12</f>
        <v>2090</v>
      </c>
      <c r="H22" s="80">
        <f t="shared" si="1"/>
        <v>2612.5</v>
      </c>
      <c r="I22" s="80">
        <f t="shared" si="2"/>
        <v>3135</v>
      </c>
      <c r="J22" s="80">
        <f t="shared" si="3"/>
        <v>3657.5</v>
      </c>
      <c r="K22" s="81">
        <f t="shared" si="4"/>
        <v>4180</v>
      </c>
      <c r="L22" s="80">
        <f t="shared" si="5"/>
        <v>4702.5</v>
      </c>
      <c r="M22" s="80">
        <f t="shared" si="6"/>
        <v>5225</v>
      </c>
      <c r="N22" s="80">
        <f t="shared" si="7"/>
        <v>5747.5</v>
      </c>
      <c r="O22" s="81">
        <f t="shared" si="8"/>
        <v>6270</v>
      </c>
      <c r="P22" s="80">
        <f t="shared" si="9"/>
        <v>6792.5</v>
      </c>
      <c r="Q22" s="80">
        <f t="shared" si="10"/>
        <v>7315</v>
      </c>
      <c r="R22" s="80">
        <f t="shared" si="11"/>
        <v>7837.5</v>
      </c>
      <c r="S22" s="81">
        <f t="shared" si="12"/>
        <v>8360</v>
      </c>
      <c r="T22" s="80">
        <f t="shared" si="13"/>
        <v>8882.5</v>
      </c>
      <c r="U22" s="80">
        <f t="shared" si="14"/>
        <v>9405</v>
      </c>
      <c r="V22" s="80">
        <f t="shared" si="15"/>
        <v>9927.5</v>
      </c>
      <c r="W22" s="81">
        <f t="shared" si="16"/>
        <v>10450</v>
      </c>
      <c r="X22" s="80">
        <f t="shared" si="17"/>
        <v>10972.5</v>
      </c>
      <c r="Y22" s="80">
        <f t="shared" si="18"/>
        <v>11495</v>
      </c>
      <c r="Z22" s="80">
        <f t="shared" si="19"/>
        <v>12017.5</v>
      </c>
      <c r="AA22" s="82">
        <f t="shared" si="20"/>
        <v>12540</v>
      </c>
      <c r="AB22" s="72"/>
      <c r="AC22" s="72"/>
      <c r="AD22" s="73"/>
    </row>
    <row r="23" ht="21.75" customHeight="1">
      <c r="A23" s="74"/>
      <c r="B23" s="66" t="s">
        <v>42</v>
      </c>
      <c r="C23" s="67" t="s">
        <v>5</v>
      </c>
      <c r="D23" s="69" t="s">
        <v>43</v>
      </c>
      <c r="E23" s="69" t="s">
        <v>43</v>
      </c>
      <c r="F23" s="69" t="s">
        <v>43</v>
      </c>
      <c r="G23" s="69" t="s">
        <v>43</v>
      </c>
      <c r="H23" s="69" t="s">
        <v>43</v>
      </c>
      <c r="I23" s="69" t="s">
        <v>43</v>
      </c>
      <c r="J23" s="69" t="s">
        <v>43</v>
      </c>
      <c r="K23" s="69" t="s">
        <v>43</v>
      </c>
      <c r="L23" s="69" t="s">
        <v>43</v>
      </c>
      <c r="M23" s="69" t="s">
        <v>43</v>
      </c>
      <c r="N23" s="69" t="s">
        <v>43</v>
      </c>
      <c r="O23" s="70">
        <f>(N9+Y7)*3</f>
        <v>8460</v>
      </c>
      <c r="P23" s="69" t="s">
        <v>43</v>
      </c>
      <c r="Q23" s="69" t="s">
        <v>43</v>
      </c>
      <c r="R23" s="69" t="s">
        <v>43</v>
      </c>
      <c r="S23" s="69" t="s">
        <v>43</v>
      </c>
      <c r="T23" s="69" t="s">
        <v>43</v>
      </c>
      <c r="U23" s="69" t="s">
        <v>43</v>
      </c>
      <c r="V23" s="69" t="s">
        <v>43</v>
      </c>
      <c r="W23" s="69" t="s">
        <v>43</v>
      </c>
      <c r="X23" s="69" t="s">
        <v>43</v>
      </c>
      <c r="Y23" s="69" t="s">
        <v>43</v>
      </c>
      <c r="Z23" s="69" t="s">
        <v>43</v>
      </c>
      <c r="AA23" s="69" t="s">
        <v>43</v>
      </c>
      <c r="AB23" s="72"/>
      <c r="AC23" s="72"/>
      <c r="AD23" s="73"/>
    </row>
    <row r="24" ht="21.75" customHeight="1">
      <c r="A24" s="74"/>
      <c r="B24" s="75"/>
      <c r="C24" s="76" t="s">
        <v>40</v>
      </c>
      <c r="D24" s="77" t="s">
        <v>43</v>
      </c>
      <c r="E24" s="77" t="s">
        <v>43</v>
      </c>
      <c r="F24" s="77" t="s">
        <v>43</v>
      </c>
      <c r="G24" s="77" t="s">
        <v>43</v>
      </c>
      <c r="H24" s="77" t="s">
        <v>43</v>
      </c>
      <c r="I24" s="77" t="s">
        <v>43</v>
      </c>
      <c r="J24" s="77" t="s">
        <v>43</v>
      </c>
      <c r="K24" s="77" t="s">
        <v>43</v>
      </c>
      <c r="L24" s="77" t="s">
        <v>43</v>
      </c>
      <c r="M24" s="77" t="s">
        <v>43</v>
      </c>
      <c r="N24" s="77" t="s">
        <v>43</v>
      </c>
      <c r="O24" s="78">
        <f>(N9+Y8)*3</f>
        <v>7170</v>
      </c>
      <c r="P24" s="77" t="s">
        <v>43</v>
      </c>
      <c r="Q24" s="77" t="s">
        <v>43</v>
      </c>
      <c r="R24" s="77" t="s">
        <v>43</v>
      </c>
      <c r="S24" s="77" t="s">
        <v>43</v>
      </c>
      <c r="T24" s="77" t="s">
        <v>43</v>
      </c>
      <c r="U24" s="77" t="s">
        <v>43</v>
      </c>
      <c r="V24" s="77" t="s">
        <v>43</v>
      </c>
      <c r="W24" s="77" t="s">
        <v>43</v>
      </c>
      <c r="X24" s="77" t="s">
        <v>43</v>
      </c>
      <c r="Y24" s="77" t="s">
        <v>43</v>
      </c>
      <c r="Z24" s="77" t="s">
        <v>43</v>
      </c>
      <c r="AA24" s="77" t="s">
        <v>43</v>
      </c>
      <c r="AB24" s="72"/>
      <c r="AC24" s="72"/>
      <c r="AD24" s="73"/>
    </row>
    <row r="25" ht="21.75" customHeight="1">
      <c r="A25" s="74"/>
      <c r="B25" s="75"/>
      <c r="C25" s="79" t="s">
        <v>7</v>
      </c>
      <c r="D25" s="80" t="s">
        <v>43</v>
      </c>
      <c r="E25" s="80" t="s">
        <v>43</v>
      </c>
      <c r="F25" s="80" t="s">
        <v>43</v>
      </c>
      <c r="G25" s="80" t="s">
        <v>43</v>
      </c>
      <c r="H25" s="80" t="s">
        <v>43</v>
      </c>
      <c r="I25" s="80" t="s">
        <v>43</v>
      </c>
      <c r="J25" s="80" t="s">
        <v>43</v>
      </c>
      <c r="K25" s="80" t="s">
        <v>43</v>
      </c>
      <c r="L25" s="80" t="s">
        <v>43</v>
      </c>
      <c r="M25" s="80" t="s">
        <v>43</v>
      </c>
      <c r="N25" s="80" t="s">
        <v>43</v>
      </c>
      <c r="O25" s="81">
        <f>(N9+Y9)*3</f>
        <v>6690</v>
      </c>
      <c r="P25" s="80" t="s">
        <v>43</v>
      </c>
      <c r="Q25" s="80" t="s">
        <v>43</v>
      </c>
      <c r="R25" s="80" t="s">
        <v>43</v>
      </c>
      <c r="S25" s="80" t="s">
        <v>43</v>
      </c>
      <c r="T25" s="80" t="s">
        <v>43</v>
      </c>
      <c r="U25" s="80" t="s">
        <v>43</v>
      </c>
      <c r="V25" s="80" t="s">
        <v>43</v>
      </c>
      <c r="W25" s="80" t="s">
        <v>43</v>
      </c>
      <c r="X25" s="80" t="s">
        <v>43</v>
      </c>
      <c r="Y25" s="80" t="s">
        <v>43</v>
      </c>
      <c r="Z25" s="80" t="s">
        <v>43</v>
      </c>
      <c r="AA25" s="80" t="s">
        <v>43</v>
      </c>
      <c r="AB25" s="72"/>
      <c r="AC25" s="72"/>
      <c r="AD25" s="73"/>
    </row>
    <row r="26" ht="21.75" customHeight="1">
      <c r="A26" s="74"/>
      <c r="B26" s="66" t="s">
        <v>44</v>
      </c>
      <c r="C26" s="67" t="s">
        <v>5</v>
      </c>
      <c r="D26" s="69" t="s">
        <v>43</v>
      </c>
      <c r="E26" s="69" t="s">
        <v>43</v>
      </c>
      <c r="F26" s="69" t="s">
        <v>43</v>
      </c>
      <c r="G26" s="69" t="s">
        <v>43</v>
      </c>
      <c r="H26" s="69" t="s">
        <v>43</v>
      </c>
      <c r="I26" s="69" t="s">
        <v>43</v>
      </c>
      <c r="J26" s="69" t="s">
        <v>43</v>
      </c>
      <c r="K26" s="70">
        <f>(N11+Y7)*2</f>
        <v>5960</v>
      </c>
      <c r="L26" s="69" t="s">
        <v>43</v>
      </c>
      <c r="M26" s="69" t="s">
        <v>43</v>
      </c>
      <c r="N26" s="69" t="s">
        <v>43</v>
      </c>
      <c r="O26" s="69" t="s">
        <v>43</v>
      </c>
      <c r="P26" s="69" t="s">
        <v>43</v>
      </c>
      <c r="Q26" s="69" t="s">
        <v>43</v>
      </c>
      <c r="R26" s="69" t="s">
        <v>43</v>
      </c>
      <c r="S26" s="69" t="s">
        <v>43</v>
      </c>
      <c r="T26" s="69" t="s">
        <v>43</v>
      </c>
      <c r="U26" s="69" t="s">
        <v>43</v>
      </c>
      <c r="V26" s="69" t="s">
        <v>43</v>
      </c>
      <c r="W26" s="69" t="s">
        <v>43</v>
      </c>
      <c r="X26" s="69" t="s">
        <v>43</v>
      </c>
      <c r="Y26" s="69" t="s">
        <v>43</v>
      </c>
      <c r="Z26" s="69" t="s">
        <v>43</v>
      </c>
      <c r="AA26" s="69" t="s">
        <v>43</v>
      </c>
      <c r="AB26" s="72"/>
      <c r="AC26" s="72"/>
      <c r="AD26" s="73"/>
    </row>
    <row r="27" ht="21.75" customHeight="1">
      <c r="A27" s="74"/>
      <c r="B27" s="75"/>
      <c r="C27" s="76" t="s">
        <v>40</v>
      </c>
      <c r="D27" s="77" t="s">
        <v>43</v>
      </c>
      <c r="E27" s="77" t="s">
        <v>43</v>
      </c>
      <c r="F27" s="77" t="s">
        <v>43</v>
      </c>
      <c r="G27" s="77" t="s">
        <v>43</v>
      </c>
      <c r="H27" s="77" t="s">
        <v>43</v>
      </c>
      <c r="I27" s="77" t="s">
        <v>43</v>
      </c>
      <c r="J27" s="77" t="s">
        <v>43</v>
      </c>
      <c r="K27" s="78">
        <f>(N11+Y8)*2</f>
        <v>5100</v>
      </c>
      <c r="L27" s="77" t="s">
        <v>43</v>
      </c>
      <c r="M27" s="77" t="s">
        <v>43</v>
      </c>
      <c r="N27" s="77" t="s">
        <v>43</v>
      </c>
      <c r="O27" s="77" t="s">
        <v>43</v>
      </c>
      <c r="P27" s="77" t="s">
        <v>43</v>
      </c>
      <c r="Q27" s="77" t="s">
        <v>43</v>
      </c>
      <c r="R27" s="77" t="s">
        <v>43</v>
      </c>
      <c r="S27" s="77" t="s">
        <v>43</v>
      </c>
      <c r="T27" s="77" t="s">
        <v>43</v>
      </c>
      <c r="U27" s="77" t="s">
        <v>43</v>
      </c>
      <c r="V27" s="77" t="s">
        <v>43</v>
      </c>
      <c r="W27" s="77" t="s">
        <v>43</v>
      </c>
      <c r="X27" s="77" t="s">
        <v>43</v>
      </c>
      <c r="Y27" s="77" t="s">
        <v>43</v>
      </c>
      <c r="Z27" s="77" t="s">
        <v>43</v>
      </c>
      <c r="AA27" s="77" t="s">
        <v>43</v>
      </c>
      <c r="AB27" s="72"/>
      <c r="AC27" s="72"/>
      <c r="AD27" s="73"/>
    </row>
    <row r="28" ht="21.75" customHeight="1">
      <c r="A28" s="74"/>
      <c r="B28" s="75"/>
      <c r="C28" s="79" t="s">
        <v>7</v>
      </c>
      <c r="D28" s="80" t="s">
        <v>43</v>
      </c>
      <c r="E28" s="80" t="s">
        <v>43</v>
      </c>
      <c r="F28" s="80" t="s">
        <v>43</v>
      </c>
      <c r="G28" s="80" t="s">
        <v>43</v>
      </c>
      <c r="H28" s="80" t="s">
        <v>43</v>
      </c>
      <c r="I28" s="80" t="s">
        <v>43</v>
      </c>
      <c r="J28" s="80" t="s">
        <v>43</v>
      </c>
      <c r="K28" s="81">
        <f>(N11+Y9)*2</f>
        <v>4780</v>
      </c>
      <c r="L28" s="80" t="s">
        <v>43</v>
      </c>
      <c r="M28" s="80" t="s">
        <v>43</v>
      </c>
      <c r="N28" s="80" t="s">
        <v>43</v>
      </c>
      <c r="O28" s="80" t="s">
        <v>43</v>
      </c>
      <c r="P28" s="80" t="s">
        <v>43</v>
      </c>
      <c r="Q28" s="80" t="s">
        <v>43</v>
      </c>
      <c r="R28" s="80" t="s">
        <v>43</v>
      </c>
      <c r="S28" s="80" t="s">
        <v>43</v>
      </c>
      <c r="T28" s="80" t="s">
        <v>43</v>
      </c>
      <c r="U28" s="80" t="s">
        <v>43</v>
      </c>
      <c r="V28" s="80" t="s">
        <v>43</v>
      </c>
      <c r="W28" s="80" t="s">
        <v>43</v>
      </c>
      <c r="X28" s="80" t="s">
        <v>43</v>
      </c>
      <c r="Y28" s="80" t="s">
        <v>43</v>
      </c>
      <c r="Z28" s="80" t="s">
        <v>43</v>
      </c>
      <c r="AA28" s="80" t="s">
        <v>43</v>
      </c>
      <c r="AB28" s="72"/>
      <c r="AC28" s="72"/>
      <c r="AD28" s="73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0" customHeight="1">
      <c r="A30" s="2" t="s">
        <v>45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0" customHeight="1">
      <c r="A31" s="85" t="s">
        <v>46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31">
    <mergeCell ref="R7:T9"/>
    <mergeCell ref="U7:X7"/>
    <mergeCell ref="U8:X8"/>
    <mergeCell ref="U9:X9"/>
    <mergeCell ref="Y7:AA7"/>
    <mergeCell ref="Y8:AA8"/>
    <mergeCell ref="J9:M10"/>
    <mergeCell ref="N9:O10"/>
    <mergeCell ref="A17:A28"/>
    <mergeCell ref="B17:B22"/>
    <mergeCell ref="B23:B25"/>
    <mergeCell ref="B26:B28"/>
    <mergeCell ref="Y9:AA9"/>
    <mergeCell ref="R10:T12"/>
    <mergeCell ref="U10:X10"/>
    <mergeCell ref="Y10:AA10"/>
    <mergeCell ref="U11:X11"/>
    <mergeCell ref="Y11:AA11"/>
    <mergeCell ref="U12:X12"/>
    <mergeCell ref="Y12:AA12"/>
    <mergeCell ref="J11:M12"/>
    <mergeCell ref="N11:O12"/>
    <mergeCell ref="A15:B15"/>
    <mergeCell ref="A16:AA16"/>
    <mergeCell ref="A1:AA6"/>
    <mergeCell ref="A7:B12"/>
    <mergeCell ref="C7:D12"/>
    <mergeCell ref="F7:G12"/>
    <mergeCell ref="H7:I12"/>
    <mergeCell ref="J7:M8"/>
    <mergeCell ref="N7:O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20.0"/>
    <col customWidth="1" min="3" max="3" width="17.0"/>
    <col customWidth="1" min="4" max="6" width="10.13"/>
    <col customWidth="1" min="7" max="7" width="11.0"/>
    <col customWidth="1" min="8" max="10" width="10.13"/>
    <col customWidth="1" min="11" max="11" width="11.0"/>
    <col customWidth="1" min="12" max="14" width="10.13"/>
    <col customWidth="1" min="15" max="15" width="11.0"/>
    <col customWidth="1" min="16" max="17" width="10.13"/>
    <col customWidth="1" min="18" max="18" width="11.5"/>
    <col customWidth="1" min="19" max="19" width="12.38"/>
    <col customWidth="1" min="20" max="22" width="11.5"/>
    <col customWidth="1" min="23" max="23" width="12.38"/>
    <col customWidth="1" min="24" max="26" width="11.5"/>
    <col customWidth="1" min="27" max="27" width="12.38"/>
    <col customWidth="1" min="29" max="29" width="9.0"/>
    <col customWidth="1" min="30" max="30" width="1.13"/>
  </cols>
  <sheetData>
    <row r="1" ht="15.0" customHeight="1">
      <c r="A1" s="1" t="s">
        <v>0</v>
      </c>
      <c r="AB1" s="2"/>
      <c r="AC1" s="2"/>
      <c r="AD1" s="2"/>
    </row>
    <row r="2" ht="15.0" customHeight="1">
      <c r="AB2" s="2"/>
      <c r="AC2" s="2"/>
      <c r="AD2" s="2"/>
    </row>
    <row r="3" ht="15.0" customHeight="1">
      <c r="AB3" s="2"/>
      <c r="AC3" s="2"/>
      <c r="AD3" s="2"/>
    </row>
    <row r="4" ht="15.0" customHeight="1">
      <c r="AB4" s="2"/>
      <c r="AC4" s="2"/>
      <c r="AD4" s="2"/>
    </row>
    <row r="5" ht="15.0" customHeight="1">
      <c r="AB5" s="2"/>
      <c r="AC5" s="2"/>
      <c r="AD5" s="2"/>
    </row>
    <row r="6" ht="15.0" customHeight="1">
      <c r="AB6" s="2"/>
      <c r="AC6" s="2"/>
      <c r="AD6" s="2"/>
    </row>
    <row r="7" ht="15.75" customHeight="1">
      <c r="A7" s="86" t="s">
        <v>1</v>
      </c>
      <c r="B7" s="4"/>
      <c r="C7" s="5" t="s">
        <v>2</v>
      </c>
      <c r="D7" s="6"/>
      <c r="E7" s="7"/>
      <c r="F7" s="8" t="s">
        <v>3</v>
      </c>
      <c r="G7" s="18"/>
      <c r="H7" s="9" t="str">
        <f>A18</f>
        <v>ESL &amp; SPEAKING</v>
      </c>
      <c r="I7" s="10"/>
      <c r="J7" s="87" t="str">
        <f>B18</f>
        <v>INTENSIVE ESL</v>
      </c>
      <c r="K7" s="18"/>
      <c r="L7" s="18"/>
      <c r="M7" s="18"/>
      <c r="N7" s="88">
        <v>1030.0</v>
      </c>
      <c r="O7" s="4"/>
      <c r="P7" s="7"/>
      <c r="Q7" s="7"/>
      <c r="R7" s="17" t="s">
        <v>4</v>
      </c>
      <c r="S7" s="18"/>
      <c r="T7" s="4"/>
      <c r="U7" s="19" t="s">
        <v>5</v>
      </c>
      <c r="V7" s="20"/>
      <c r="W7" s="20"/>
      <c r="X7" s="21"/>
      <c r="Y7" s="22">
        <v>1400.0</v>
      </c>
      <c r="Z7" s="20"/>
      <c r="AA7" s="20"/>
      <c r="AB7" s="23"/>
      <c r="AC7" s="2"/>
      <c r="AD7" s="2"/>
    </row>
    <row r="8" ht="15.75" customHeight="1">
      <c r="A8" s="24"/>
      <c r="B8" s="6"/>
      <c r="C8" s="25"/>
      <c r="D8" s="6"/>
      <c r="E8" s="26"/>
      <c r="F8" s="25"/>
      <c r="H8" s="25"/>
      <c r="I8" s="6"/>
      <c r="J8" s="24"/>
      <c r="N8" s="25"/>
      <c r="O8" s="6"/>
      <c r="P8" s="26"/>
      <c r="Q8" s="26"/>
      <c r="R8" s="25"/>
      <c r="T8" s="6"/>
      <c r="U8" s="32" t="s">
        <v>6</v>
      </c>
      <c r="V8" s="33"/>
      <c r="W8" s="33"/>
      <c r="X8" s="34"/>
      <c r="Y8" s="35">
        <v>970.0</v>
      </c>
      <c r="Z8" s="33"/>
      <c r="AA8" s="33"/>
      <c r="AB8" s="23"/>
      <c r="AC8" s="2"/>
      <c r="AD8" s="2"/>
    </row>
    <row r="9" ht="15.75" customHeight="1">
      <c r="A9" s="24"/>
      <c r="B9" s="6"/>
      <c r="C9" s="25"/>
      <c r="D9" s="6"/>
      <c r="E9" s="26"/>
      <c r="F9" s="25"/>
      <c r="H9" s="25"/>
      <c r="I9" s="6"/>
      <c r="J9" s="89" t="str">
        <f>B24</f>
        <v>GENERAL ESL</v>
      </c>
      <c r="K9" s="37"/>
      <c r="L9" s="37"/>
      <c r="M9" s="10"/>
      <c r="N9" s="90">
        <v>900.0</v>
      </c>
      <c r="O9" s="39"/>
      <c r="P9" s="91"/>
      <c r="Q9" s="92"/>
      <c r="R9" s="41"/>
      <c r="S9" s="28"/>
      <c r="T9" s="29"/>
      <c r="U9" s="32" t="s">
        <v>7</v>
      </c>
      <c r="V9" s="33"/>
      <c r="W9" s="33"/>
      <c r="X9" s="34"/>
      <c r="Y9" s="42">
        <v>810.0</v>
      </c>
      <c r="Z9" s="33"/>
      <c r="AA9" s="33"/>
      <c r="AB9" s="23"/>
      <c r="AC9" s="2"/>
      <c r="AD9" s="2"/>
    </row>
    <row r="10" ht="15.75" customHeight="1">
      <c r="A10" s="24"/>
      <c r="B10" s="6"/>
      <c r="C10" s="25"/>
      <c r="D10" s="6"/>
      <c r="E10" s="26"/>
      <c r="F10" s="25"/>
      <c r="H10" s="25"/>
      <c r="I10" s="6"/>
      <c r="J10" s="27"/>
      <c r="K10" s="28"/>
      <c r="L10" s="28"/>
      <c r="M10" s="29"/>
      <c r="N10" s="25"/>
      <c r="O10" s="30"/>
      <c r="P10" s="44"/>
      <c r="Q10" s="26"/>
      <c r="R10" s="45" t="s">
        <v>8</v>
      </c>
      <c r="S10" s="37"/>
      <c r="T10" s="10"/>
      <c r="U10" s="46" t="s">
        <v>9</v>
      </c>
      <c r="V10" s="33"/>
      <c r="W10" s="33"/>
      <c r="X10" s="34"/>
      <c r="Y10" s="47">
        <v>1690.0</v>
      </c>
      <c r="Z10" s="33"/>
      <c r="AA10" s="33"/>
      <c r="AB10" s="23"/>
      <c r="AC10" s="2"/>
      <c r="AD10" s="2"/>
    </row>
    <row r="11" ht="15.75" customHeight="1">
      <c r="A11" s="24"/>
      <c r="B11" s="6"/>
      <c r="C11" s="25"/>
      <c r="D11" s="6"/>
      <c r="E11" s="48"/>
      <c r="F11" s="25"/>
      <c r="H11" s="25"/>
      <c r="I11" s="6"/>
      <c r="J11" s="87" t="str">
        <f>B30</f>
        <v>IPS - Intensive Power Speaking</v>
      </c>
      <c r="K11" s="18"/>
      <c r="L11" s="18"/>
      <c r="M11" s="18"/>
      <c r="N11" s="93">
        <v>1170.0</v>
      </c>
      <c r="O11" s="10"/>
      <c r="P11" s="26"/>
      <c r="Q11" s="26"/>
      <c r="R11" s="25"/>
      <c r="T11" s="6"/>
      <c r="U11" s="46" t="s">
        <v>10</v>
      </c>
      <c r="V11" s="33"/>
      <c r="W11" s="33"/>
      <c r="X11" s="34"/>
      <c r="Y11" s="51">
        <v>1100.0</v>
      </c>
      <c r="Z11" s="33"/>
      <c r="AA11" s="33"/>
      <c r="AB11" s="23"/>
      <c r="AC11" s="2"/>
      <c r="AD11" s="2"/>
    </row>
    <row r="12" ht="15.75" customHeight="1">
      <c r="A12" s="27"/>
      <c r="B12" s="29"/>
      <c r="C12" s="41"/>
      <c r="D12" s="29"/>
      <c r="E12" s="48"/>
      <c r="F12" s="25"/>
      <c r="H12" s="25"/>
      <c r="I12" s="6"/>
      <c r="J12" s="27"/>
      <c r="K12" s="28"/>
      <c r="L12" s="28"/>
      <c r="M12" s="28"/>
      <c r="N12" s="41"/>
      <c r="O12" s="29"/>
      <c r="P12" s="26"/>
      <c r="Q12" s="26"/>
      <c r="R12" s="41"/>
      <c r="S12" s="28"/>
      <c r="T12" s="29"/>
      <c r="U12" s="46" t="s">
        <v>11</v>
      </c>
      <c r="V12" s="33"/>
      <c r="W12" s="33"/>
      <c r="X12" s="34"/>
      <c r="Y12" s="47">
        <v>890.0</v>
      </c>
      <c r="Z12" s="33"/>
      <c r="AA12" s="33"/>
      <c r="AB12" s="23"/>
      <c r="AC12" s="2"/>
      <c r="AD12" s="2"/>
    </row>
    <row r="13" ht="25.5" customHeight="1">
      <c r="A13" s="44"/>
      <c r="B13" s="26"/>
      <c r="C13" s="26"/>
      <c r="D13" s="26"/>
      <c r="E13" s="26"/>
      <c r="F13" s="41"/>
      <c r="G13" s="28"/>
      <c r="H13" s="41"/>
      <c r="I13" s="29"/>
      <c r="J13" s="94" t="s">
        <v>47</v>
      </c>
      <c r="K13" s="95"/>
      <c r="L13" s="95"/>
      <c r="M13" s="95"/>
      <c r="N13" s="96">
        <v>790.0</v>
      </c>
      <c r="O13" s="97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56"/>
      <c r="AB13" s="2"/>
      <c r="AC13" s="2"/>
      <c r="AD13" s="2"/>
    </row>
    <row r="14" ht="15.0" customHeight="1">
      <c r="A14" s="44"/>
      <c r="B14" s="26"/>
      <c r="C14" s="26"/>
      <c r="D14" s="26"/>
      <c r="E14" s="26"/>
      <c r="F14" s="26"/>
      <c r="G14" s="26"/>
      <c r="H14" s="26"/>
      <c r="I14" s="26"/>
      <c r="J14" s="98"/>
      <c r="K14" s="99"/>
      <c r="L14" s="99"/>
      <c r="M14" s="100"/>
      <c r="N14" s="101"/>
      <c r="O14" s="100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56"/>
      <c r="AB14" s="2"/>
      <c r="AC14" s="2"/>
      <c r="AD14" s="2"/>
    </row>
    <row r="15" ht="16.5" customHeight="1">
      <c r="A15" s="44"/>
      <c r="B15" s="26"/>
      <c r="C15" s="26"/>
      <c r="D15" s="57">
        <v>0.45</v>
      </c>
      <c r="E15" s="57">
        <v>0.65</v>
      </c>
      <c r="F15" s="57">
        <v>0.85</v>
      </c>
      <c r="G15" s="26"/>
      <c r="H15" s="58"/>
      <c r="I15" s="59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56"/>
      <c r="AB15" s="2"/>
      <c r="AC15" s="2"/>
      <c r="AD15" s="2"/>
    </row>
    <row r="16" ht="24.0" customHeight="1">
      <c r="A16" s="102" t="s">
        <v>12</v>
      </c>
      <c r="B16" s="34"/>
      <c r="C16" s="103" t="s">
        <v>13</v>
      </c>
      <c r="D16" s="103" t="s">
        <v>14</v>
      </c>
      <c r="E16" s="103" t="s">
        <v>15</v>
      </c>
      <c r="F16" s="103" t="s">
        <v>16</v>
      </c>
      <c r="G16" s="103" t="s">
        <v>17</v>
      </c>
      <c r="H16" s="103" t="s">
        <v>18</v>
      </c>
      <c r="I16" s="103" t="s">
        <v>19</v>
      </c>
      <c r="J16" s="103" t="s">
        <v>20</v>
      </c>
      <c r="K16" s="103" t="s">
        <v>21</v>
      </c>
      <c r="L16" s="103" t="s">
        <v>22</v>
      </c>
      <c r="M16" s="103" t="s">
        <v>23</v>
      </c>
      <c r="N16" s="103" t="s">
        <v>24</v>
      </c>
      <c r="O16" s="103" t="s">
        <v>25</v>
      </c>
      <c r="P16" s="103" t="s">
        <v>26</v>
      </c>
      <c r="Q16" s="103" t="s">
        <v>27</v>
      </c>
      <c r="R16" s="103" t="s">
        <v>28</v>
      </c>
      <c r="S16" s="103" t="s">
        <v>29</v>
      </c>
      <c r="T16" s="103" t="s">
        <v>30</v>
      </c>
      <c r="U16" s="103" t="s">
        <v>31</v>
      </c>
      <c r="V16" s="103" t="s">
        <v>32</v>
      </c>
      <c r="W16" s="103" t="s">
        <v>33</v>
      </c>
      <c r="X16" s="103" t="s">
        <v>34</v>
      </c>
      <c r="Y16" s="103" t="s">
        <v>35</v>
      </c>
      <c r="Z16" s="103" t="s">
        <v>36</v>
      </c>
      <c r="AA16" s="104" t="s">
        <v>37</v>
      </c>
      <c r="AB16" s="63"/>
      <c r="AC16" s="63"/>
      <c r="AD16" s="63"/>
    </row>
    <row r="17" ht="4.5" customHeight="1">
      <c r="A17" s="64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4"/>
      <c r="AB17" s="2"/>
      <c r="AC17" s="2"/>
      <c r="AD17" s="2"/>
    </row>
    <row r="18" ht="21.75" customHeight="1">
      <c r="A18" s="105" t="s">
        <v>48</v>
      </c>
      <c r="B18" s="106" t="s">
        <v>49</v>
      </c>
      <c r="C18" s="107" t="s">
        <v>5</v>
      </c>
      <c r="D18" s="108">
        <f>G18*D15</f>
        <v>1093.5</v>
      </c>
      <c r="E18" s="109">
        <f>G18*E15</f>
        <v>1579.5</v>
      </c>
      <c r="F18" s="109">
        <f>G18*F15</f>
        <v>2065.5</v>
      </c>
      <c r="G18" s="110">
        <f>N7+Y7</f>
        <v>2430</v>
      </c>
      <c r="H18" s="109">
        <f t="shared" ref="H18:H41" si="1">G18+(G18*0.25)</f>
        <v>3037.5</v>
      </c>
      <c r="I18" s="109">
        <f t="shared" ref="I18:I41" si="2">G18+(G18*0.5)</f>
        <v>3645</v>
      </c>
      <c r="J18" s="109">
        <f t="shared" ref="J18:J41" si="3">G18+(G18*0.75)</f>
        <v>4252.5</v>
      </c>
      <c r="K18" s="110">
        <f t="shared" ref="K18:K41" si="4">G18*2</f>
        <v>4860</v>
      </c>
      <c r="L18" s="109">
        <f t="shared" ref="L18:L41" si="5">K18+(G18*0.25)</f>
        <v>5467.5</v>
      </c>
      <c r="M18" s="109">
        <f t="shared" ref="M18:M41" si="6">K18+(G18*0.5)</f>
        <v>6075</v>
      </c>
      <c r="N18" s="109">
        <f t="shared" ref="N18:N41" si="7">K18+(G18*0.75)</f>
        <v>6682.5</v>
      </c>
      <c r="O18" s="110">
        <f t="shared" ref="O18:O41" si="8">G18*3</f>
        <v>7290</v>
      </c>
      <c r="P18" s="109">
        <f t="shared" ref="P18:P41" si="9">O18+(G18*0.25)</f>
        <v>7897.5</v>
      </c>
      <c r="Q18" s="109">
        <f t="shared" ref="Q18:Q41" si="10">O18+(G18*0.5)</f>
        <v>8505</v>
      </c>
      <c r="R18" s="109">
        <f t="shared" ref="R18:R41" si="11">O18+(G18*0.75)</f>
        <v>9112.5</v>
      </c>
      <c r="S18" s="110">
        <f t="shared" ref="S18:S41" si="12">G18*4</f>
        <v>9720</v>
      </c>
      <c r="T18" s="109">
        <f t="shared" ref="T18:T41" si="13">S18+(G18*0.25)</f>
        <v>10327.5</v>
      </c>
      <c r="U18" s="109">
        <f t="shared" ref="U18:U41" si="14">S18+(G18*0.5)</f>
        <v>10935</v>
      </c>
      <c r="V18" s="109">
        <f t="shared" ref="V18:V41" si="15">S18+(G18*0.75)</f>
        <v>11542.5</v>
      </c>
      <c r="W18" s="110">
        <f t="shared" ref="W18:W41" si="16">G18*5</f>
        <v>12150</v>
      </c>
      <c r="X18" s="109">
        <f t="shared" ref="X18:X41" si="17">W18+(G18*0.25)</f>
        <v>12757.5</v>
      </c>
      <c r="Y18" s="109">
        <f t="shared" ref="Y18:Y41" si="18">W18+(G18*0.5)</f>
        <v>13365</v>
      </c>
      <c r="Z18" s="109">
        <f t="shared" ref="Z18:Z41" si="19">W18+(G18*0.75)</f>
        <v>13972.5</v>
      </c>
      <c r="AA18" s="111">
        <f t="shared" ref="AA18:AA41" si="20">G18*6</f>
        <v>14580</v>
      </c>
      <c r="AB18" s="112"/>
      <c r="AC18" s="112"/>
      <c r="AD18" s="113"/>
    </row>
    <row r="19" ht="21.75" customHeight="1">
      <c r="A19" s="114"/>
      <c r="B19" s="75"/>
      <c r="C19" s="115" t="s">
        <v>40</v>
      </c>
      <c r="D19" s="116">
        <f>G19*D15</f>
        <v>900</v>
      </c>
      <c r="E19" s="116">
        <f>G19*E15</f>
        <v>1300</v>
      </c>
      <c r="F19" s="116">
        <f>G19*F15</f>
        <v>1700</v>
      </c>
      <c r="G19" s="117">
        <f>N7+Y8</f>
        <v>2000</v>
      </c>
      <c r="H19" s="116">
        <f t="shared" si="1"/>
        <v>2500</v>
      </c>
      <c r="I19" s="116">
        <f t="shared" si="2"/>
        <v>3000</v>
      </c>
      <c r="J19" s="116">
        <f t="shared" si="3"/>
        <v>3500</v>
      </c>
      <c r="K19" s="117">
        <f t="shared" si="4"/>
        <v>4000</v>
      </c>
      <c r="L19" s="116">
        <f t="shared" si="5"/>
        <v>4500</v>
      </c>
      <c r="M19" s="116">
        <f t="shared" si="6"/>
        <v>5000</v>
      </c>
      <c r="N19" s="116">
        <f t="shared" si="7"/>
        <v>5500</v>
      </c>
      <c r="O19" s="117">
        <f t="shared" si="8"/>
        <v>6000</v>
      </c>
      <c r="P19" s="116">
        <f t="shared" si="9"/>
        <v>6500</v>
      </c>
      <c r="Q19" s="116">
        <f t="shared" si="10"/>
        <v>7000</v>
      </c>
      <c r="R19" s="116">
        <f t="shared" si="11"/>
        <v>7500</v>
      </c>
      <c r="S19" s="117">
        <f t="shared" si="12"/>
        <v>8000</v>
      </c>
      <c r="T19" s="116">
        <f t="shared" si="13"/>
        <v>8500</v>
      </c>
      <c r="U19" s="116">
        <f t="shared" si="14"/>
        <v>9000</v>
      </c>
      <c r="V19" s="116">
        <f t="shared" si="15"/>
        <v>9500</v>
      </c>
      <c r="W19" s="117">
        <f t="shared" si="16"/>
        <v>10000</v>
      </c>
      <c r="X19" s="116">
        <f t="shared" si="17"/>
        <v>10500</v>
      </c>
      <c r="Y19" s="116">
        <f t="shared" si="18"/>
        <v>11000</v>
      </c>
      <c r="Z19" s="116">
        <f t="shared" si="19"/>
        <v>11500</v>
      </c>
      <c r="AA19" s="117">
        <f t="shared" si="20"/>
        <v>12000</v>
      </c>
      <c r="AB19" s="112"/>
      <c r="AC19" s="112"/>
      <c r="AD19" s="113"/>
    </row>
    <row r="20" ht="21.75" customHeight="1">
      <c r="A20" s="114"/>
      <c r="B20" s="75"/>
      <c r="C20" s="118" t="s">
        <v>7</v>
      </c>
      <c r="D20" s="119">
        <f>G20*D15</f>
        <v>828</v>
      </c>
      <c r="E20" s="119">
        <f>G20*E15</f>
        <v>1196</v>
      </c>
      <c r="F20" s="119">
        <f>G20*F15</f>
        <v>1564</v>
      </c>
      <c r="G20" s="120">
        <f>N7+Y9</f>
        <v>1840</v>
      </c>
      <c r="H20" s="119">
        <f t="shared" si="1"/>
        <v>2300</v>
      </c>
      <c r="I20" s="119">
        <f t="shared" si="2"/>
        <v>2760</v>
      </c>
      <c r="J20" s="119">
        <f t="shared" si="3"/>
        <v>3220</v>
      </c>
      <c r="K20" s="120">
        <f t="shared" si="4"/>
        <v>3680</v>
      </c>
      <c r="L20" s="119">
        <f t="shared" si="5"/>
        <v>4140</v>
      </c>
      <c r="M20" s="119">
        <f t="shared" si="6"/>
        <v>4600</v>
      </c>
      <c r="N20" s="119">
        <f t="shared" si="7"/>
        <v>5060</v>
      </c>
      <c r="O20" s="120">
        <f t="shared" si="8"/>
        <v>5520</v>
      </c>
      <c r="P20" s="119">
        <f t="shared" si="9"/>
        <v>5980</v>
      </c>
      <c r="Q20" s="119">
        <f t="shared" si="10"/>
        <v>6440</v>
      </c>
      <c r="R20" s="119">
        <f t="shared" si="11"/>
        <v>6900</v>
      </c>
      <c r="S20" s="120">
        <f t="shared" si="12"/>
        <v>7360</v>
      </c>
      <c r="T20" s="119">
        <f t="shared" si="13"/>
        <v>7820</v>
      </c>
      <c r="U20" s="119">
        <f t="shared" si="14"/>
        <v>8280</v>
      </c>
      <c r="V20" s="119">
        <f t="shared" si="15"/>
        <v>8740</v>
      </c>
      <c r="W20" s="120">
        <f t="shared" si="16"/>
        <v>9200</v>
      </c>
      <c r="X20" s="119">
        <f t="shared" si="17"/>
        <v>9660</v>
      </c>
      <c r="Y20" s="119">
        <f t="shared" si="18"/>
        <v>10120</v>
      </c>
      <c r="Z20" s="119">
        <f t="shared" si="19"/>
        <v>10580</v>
      </c>
      <c r="AA20" s="121">
        <f t="shared" si="20"/>
        <v>11040</v>
      </c>
      <c r="AB20" s="112"/>
      <c r="AC20" s="112"/>
      <c r="AD20" s="113"/>
    </row>
    <row r="21" ht="21.75" customHeight="1">
      <c r="A21" s="114"/>
      <c r="B21" s="75"/>
      <c r="C21" s="107" t="s">
        <v>9</v>
      </c>
      <c r="D21" s="109">
        <f>G21*D15</f>
        <v>1224</v>
      </c>
      <c r="E21" s="109">
        <f>G21*E15</f>
        <v>1768</v>
      </c>
      <c r="F21" s="109">
        <f>G21*F15</f>
        <v>2312</v>
      </c>
      <c r="G21" s="110">
        <f>N7+Y10</f>
        <v>2720</v>
      </c>
      <c r="H21" s="109">
        <f t="shared" si="1"/>
        <v>3400</v>
      </c>
      <c r="I21" s="109">
        <f t="shared" si="2"/>
        <v>4080</v>
      </c>
      <c r="J21" s="109">
        <f t="shared" si="3"/>
        <v>4760</v>
      </c>
      <c r="K21" s="110">
        <f t="shared" si="4"/>
        <v>5440</v>
      </c>
      <c r="L21" s="109">
        <f t="shared" si="5"/>
        <v>6120</v>
      </c>
      <c r="M21" s="109">
        <f t="shared" si="6"/>
        <v>6800</v>
      </c>
      <c r="N21" s="109">
        <f t="shared" si="7"/>
        <v>7480</v>
      </c>
      <c r="O21" s="110">
        <f t="shared" si="8"/>
        <v>8160</v>
      </c>
      <c r="P21" s="109">
        <f t="shared" si="9"/>
        <v>8840</v>
      </c>
      <c r="Q21" s="109">
        <f t="shared" si="10"/>
        <v>9520</v>
      </c>
      <c r="R21" s="109">
        <f t="shared" si="11"/>
        <v>10200</v>
      </c>
      <c r="S21" s="110">
        <f t="shared" si="12"/>
        <v>10880</v>
      </c>
      <c r="T21" s="109">
        <f t="shared" si="13"/>
        <v>11560</v>
      </c>
      <c r="U21" s="109">
        <f t="shared" si="14"/>
        <v>12240</v>
      </c>
      <c r="V21" s="109">
        <f t="shared" si="15"/>
        <v>12920</v>
      </c>
      <c r="W21" s="110">
        <f t="shared" si="16"/>
        <v>13600</v>
      </c>
      <c r="X21" s="109">
        <f t="shared" si="17"/>
        <v>14280</v>
      </c>
      <c r="Y21" s="109">
        <f t="shared" si="18"/>
        <v>14960</v>
      </c>
      <c r="Z21" s="109">
        <f t="shared" si="19"/>
        <v>15640</v>
      </c>
      <c r="AA21" s="111">
        <f t="shared" si="20"/>
        <v>16320</v>
      </c>
      <c r="AB21" s="112"/>
      <c r="AC21" s="112"/>
      <c r="AD21" s="113"/>
    </row>
    <row r="22" ht="21.75" customHeight="1">
      <c r="A22" s="114"/>
      <c r="B22" s="75"/>
      <c r="C22" s="115" t="s">
        <v>41</v>
      </c>
      <c r="D22" s="116">
        <f>G22*D15</f>
        <v>958.5</v>
      </c>
      <c r="E22" s="116">
        <f>G22*E15</f>
        <v>1384.5</v>
      </c>
      <c r="F22" s="116">
        <f>G22*F15</f>
        <v>1810.5</v>
      </c>
      <c r="G22" s="117">
        <f>N7+Y11</f>
        <v>2130</v>
      </c>
      <c r="H22" s="116">
        <f t="shared" si="1"/>
        <v>2662.5</v>
      </c>
      <c r="I22" s="116">
        <f t="shared" si="2"/>
        <v>3195</v>
      </c>
      <c r="J22" s="116">
        <f t="shared" si="3"/>
        <v>3727.5</v>
      </c>
      <c r="K22" s="117">
        <f t="shared" si="4"/>
        <v>4260</v>
      </c>
      <c r="L22" s="116">
        <f t="shared" si="5"/>
        <v>4792.5</v>
      </c>
      <c r="M22" s="116">
        <f t="shared" si="6"/>
        <v>5325</v>
      </c>
      <c r="N22" s="116">
        <f t="shared" si="7"/>
        <v>5857.5</v>
      </c>
      <c r="O22" s="117">
        <f t="shared" si="8"/>
        <v>6390</v>
      </c>
      <c r="P22" s="116">
        <f t="shared" si="9"/>
        <v>6922.5</v>
      </c>
      <c r="Q22" s="116">
        <f t="shared" si="10"/>
        <v>7455</v>
      </c>
      <c r="R22" s="116">
        <f t="shared" si="11"/>
        <v>7987.5</v>
      </c>
      <c r="S22" s="117">
        <f t="shared" si="12"/>
        <v>8520</v>
      </c>
      <c r="T22" s="116">
        <f t="shared" si="13"/>
        <v>9052.5</v>
      </c>
      <c r="U22" s="116">
        <f t="shared" si="14"/>
        <v>9585</v>
      </c>
      <c r="V22" s="116">
        <f t="shared" si="15"/>
        <v>10117.5</v>
      </c>
      <c r="W22" s="117">
        <f t="shared" si="16"/>
        <v>10650</v>
      </c>
      <c r="X22" s="116">
        <f t="shared" si="17"/>
        <v>11182.5</v>
      </c>
      <c r="Y22" s="116">
        <f t="shared" si="18"/>
        <v>11715</v>
      </c>
      <c r="Z22" s="116">
        <f t="shared" si="19"/>
        <v>12247.5</v>
      </c>
      <c r="AA22" s="122">
        <f t="shared" si="20"/>
        <v>12780</v>
      </c>
      <c r="AB22" s="112"/>
      <c r="AC22" s="112"/>
      <c r="AD22" s="113"/>
    </row>
    <row r="23" ht="21.75" customHeight="1">
      <c r="A23" s="114"/>
      <c r="B23" s="84"/>
      <c r="C23" s="118" t="s">
        <v>11</v>
      </c>
      <c r="D23" s="119">
        <f>G23*D15</f>
        <v>864</v>
      </c>
      <c r="E23" s="119">
        <f>G23*E15</f>
        <v>1248</v>
      </c>
      <c r="F23" s="119">
        <f>G23*F15</f>
        <v>1632</v>
      </c>
      <c r="G23" s="120">
        <f>N7+Y12</f>
        <v>1920</v>
      </c>
      <c r="H23" s="119">
        <f t="shared" si="1"/>
        <v>2400</v>
      </c>
      <c r="I23" s="119">
        <f t="shared" si="2"/>
        <v>2880</v>
      </c>
      <c r="J23" s="119">
        <f t="shared" si="3"/>
        <v>3360</v>
      </c>
      <c r="K23" s="120">
        <f t="shared" si="4"/>
        <v>3840</v>
      </c>
      <c r="L23" s="119">
        <f t="shared" si="5"/>
        <v>4320</v>
      </c>
      <c r="M23" s="119">
        <f t="shared" si="6"/>
        <v>4800</v>
      </c>
      <c r="N23" s="119">
        <f t="shared" si="7"/>
        <v>5280</v>
      </c>
      <c r="O23" s="120">
        <f t="shared" si="8"/>
        <v>5760</v>
      </c>
      <c r="P23" s="119">
        <f t="shared" si="9"/>
        <v>6240</v>
      </c>
      <c r="Q23" s="119">
        <f t="shared" si="10"/>
        <v>6720</v>
      </c>
      <c r="R23" s="119">
        <f t="shared" si="11"/>
        <v>7200</v>
      </c>
      <c r="S23" s="120">
        <f t="shared" si="12"/>
        <v>7680</v>
      </c>
      <c r="T23" s="119">
        <f t="shared" si="13"/>
        <v>8160</v>
      </c>
      <c r="U23" s="119">
        <f t="shared" si="14"/>
        <v>8640</v>
      </c>
      <c r="V23" s="119">
        <f t="shared" si="15"/>
        <v>9120</v>
      </c>
      <c r="W23" s="120">
        <f t="shared" si="16"/>
        <v>9600</v>
      </c>
      <c r="X23" s="119">
        <f t="shared" si="17"/>
        <v>10080</v>
      </c>
      <c r="Y23" s="119">
        <f t="shared" si="18"/>
        <v>10560</v>
      </c>
      <c r="Z23" s="119">
        <f t="shared" si="19"/>
        <v>11040</v>
      </c>
      <c r="AA23" s="121">
        <f t="shared" si="20"/>
        <v>11520</v>
      </c>
      <c r="AB23" s="112"/>
      <c r="AC23" s="112"/>
      <c r="AD23" s="113"/>
    </row>
    <row r="24" ht="21.75" customHeight="1">
      <c r="A24" s="114"/>
      <c r="B24" s="106" t="s">
        <v>50</v>
      </c>
      <c r="C24" s="107" t="s">
        <v>5</v>
      </c>
      <c r="D24" s="109">
        <f>G24*D15</f>
        <v>1035</v>
      </c>
      <c r="E24" s="109">
        <f>G24*E15</f>
        <v>1495</v>
      </c>
      <c r="F24" s="109">
        <f>G24*F15</f>
        <v>1955</v>
      </c>
      <c r="G24" s="110">
        <f>N9+Y7</f>
        <v>2300</v>
      </c>
      <c r="H24" s="109">
        <f t="shared" si="1"/>
        <v>2875</v>
      </c>
      <c r="I24" s="109">
        <f t="shared" si="2"/>
        <v>3450</v>
      </c>
      <c r="J24" s="109">
        <f t="shared" si="3"/>
        <v>4025</v>
      </c>
      <c r="K24" s="110">
        <f t="shared" si="4"/>
        <v>4600</v>
      </c>
      <c r="L24" s="109">
        <f t="shared" si="5"/>
        <v>5175</v>
      </c>
      <c r="M24" s="109">
        <f t="shared" si="6"/>
        <v>5750</v>
      </c>
      <c r="N24" s="109">
        <f t="shared" si="7"/>
        <v>6325</v>
      </c>
      <c r="O24" s="110">
        <f t="shared" si="8"/>
        <v>6900</v>
      </c>
      <c r="P24" s="109">
        <f t="shared" si="9"/>
        <v>7475</v>
      </c>
      <c r="Q24" s="109">
        <f t="shared" si="10"/>
        <v>8050</v>
      </c>
      <c r="R24" s="109">
        <f t="shared" si="11"/>
        <v>8625</v>
      </c>
      <c r="S24" s="110">
        <f t="shared" si="12"/>
        <v>9200</v>
      </c>
      <c r="T24" s="109">
        <f t="shared" si="13"/>
        <v>9775</v>
      </c>
      <c r="U24" s="109">
        <f t="shared" si="14"/>
        <v>10350</v>
      </c>
      <c r="V24" s="109">
        <f t="shared" si="15"/>
        <v>10925</v>
      </c>
      <c r="W24" s="110">
        <f t="shared" si="16"/>
        <v>11500</v>
      </c>
      <c r="X24" s="109">
        <f t="shared" si="17"/>
        <v>12075</v>
      </c>
      <c r="Y24" s="109">
        <f t="shared" si="18"/>
        <v>12650</v>
      </c>
      <c r="Z24" s="109">
        <f t="shared" si="19"/>
        <v>13225</v>
      </c>
      <c r="AA24" s="111">
        <f t="shared" si="20"/>
        <v>13800</v>
      </c>
      <c r="AB24" s="112"/>
      <c r="AC24" s="112"/>
      <c r="AD24" s="113"/>
    </row>
    <row r="25" ht="21.75" customHeight="1">
      <c r="A25" s="114"/>
      <c r="B25" s="75"/>
      <c r="C25" s="115" t="s">
        <v>40</v>
      </c>
      <c r="D25" s="116">
        <f>G25*D15</f>
        <v>841.5</v>
      </c>
      <c r="E25" s="116">
        <f>G25*E15</f>
        <v>1215.5</v>
      </c>
      <c r="F25" s="116">
        <f>G25*F15</f>
        <v>1589.5</v>
      </c>
      <c r="G25" s="117">
        <f>N9+Y8</f>
        <v>1870</v>
      </c>
      <c r="H25" s="116">
        <f t="shared" si="1"/>
        <v>2337.5</v>
      </c>
      <c r="I25" s="116">
        <f t="shared" si="2"/>
        <v>2805</v>
      </c>
      <c r="J25" s="116">
        <f t="shared" si="3"/>
        <v>3272.5</v>
      </c>
      <c r="K25" s="117">
        <f t="shared" si="4"/>
        <v>3740</v>
      </c>
      <c r="L25" s="116">
        <f t="shared" si="5"/>
        <v>4207.5</v>
      </c>
      <c r="M25" s="116">
        <f t="shared" si="6"/>
        <v>4675</v>
      </c>
      <c r="N25" s="116">
        <f t="shared" si="7"/>
        <v>5142.5</v>
      </c>
      <c r="O25" s="117">
        <f t="shared" si="8"/>
        <v>5610</v>
      </c>
      <c r="P25" s="116">
        <f t="shared" si="9"/>
        <v>6077.5</v>
      </c>
      <c r="Q25" s="116">
        <f t="shared" si="10"/>
        <v>6545</v>
      </c>
      <c r="R25" s="116">
        <f t="shared" si="11"/>
        <v>7012.5</v>
      </c>
      <c r="S25" s="117">
        <f t="shared" si="12"/>
        <v>7480</v>
      </c>
      <c r="T25" s="116">
        <f t="shared" si="13"/>
        <v>7947.5</v>
      </c>
      <c r="U25" s="116">
        <f t="shared" si="14"/>
        <v>8415</v>
      </c>
      <c r="V25" s="116">
        <f t="shared" si="15"/>
        <v>8882.5</v>
      </c>
      <c r="W25" s="117">
        <f t="shared" si="16"/>
        <v>9350</v>
      </c>
      <c r="X25" s="116">
        <f t="shared" si="17"/>
        <v>9817.5</v>
      </c>
      <c r="Y25" s="116">
        <f t="shared" si="18"/>
        <v>10285</v>
      </c>
      <c r="Z25" s="116">
        <f t="shared" si="19"/>
        <v>10752.5</v>
      </c>
      <c r="AA25" s="117">
        <f t="shared" si="20"/>
        <v>11220</v>
      </c>
      <c r="AB25" s="112"/>
      <c r="AC25" s="112"/>
      <c r="AD25" s="113"/>
    </row>
    <row r="26" ht="21.75" customHeight="1">
      <c r="A26" s="114"/>
      <c r="B26" s="75"/>
      <c r="C26" s="118" t="s">
        <v>7</v>
      </c>
      <c r="D26" s="119">
        <f>G26*D15</f>
        <v>769.5</v>
      </c>
      <c r="E26" s="119">
        <f>G26*E15</f>
        <v>1111.5</v>
      </c>
      <c r="F26" s="119">
        <f>G26*F15</f>
        <v>1453.5</v>
      </c>
      <c r="G26" s="120">
        <f>N9+Y9</f>
        <v>1710</v>
      </c>
      <c r="H26" s="119">
        <f t="shared" si="1"/>
        <v>2137.5</v>
      </c>
      <c r="I26" s="119">
        <f t="shared" si="2"/>
        <v>2565</v>
      </c>
      <c r="J26" s="119">
        <f t="shared" si="3"/>
        <v>2992.5</v>
      </c>
      <c r="K26" s="120">
        <f t="shared" si="4"/>
        <v>3420</v>
      </c>
      <c r="L26" s="119">
        <f t="shared" si="5"/>
        <v>3847.5</v>
      </c>
      <c r="M26" s="119">
        <f t="shared" si="6"/>
        <v>4275</v>
      </c>
      <c r="N26" s="119">
        <f t="shared" si="7"/>
        <v>4702.5</v>
      </c>
      <c r="O26" s="120">
        <f t="shared" si="8"/>
        <v>5130</v>
      </c>
      <c r="P26" s="119">
        <f t="shared" si="9"/>
        <v>5557.5</v>
      </c>
      <c r="Q26" s="119">
        <f t="shared" si="10"/>
        <v>5985</v>
      </c>
      <c r="R26" s="119">
        <f t="shared" si="11"/>
        <v>6412.5</v>
      </c>
      <c r="S26" s="120">
        <f t="shared" si="12"/>
        <v>6840</v>
      </c>
      <c r="T26" s="119">
        <f t="shared" si="13"/>
        <v>7267.5</v>
      </c>
      <c r="U26" s="119">
        <f t="shared" si="14"/>
        <v>7695</v>
      </c>
      <c r="V26" s="119">
        <f t="shared" si="15"/>
        <v>8122.5</v>
      </c>
      <c r="W26" s="120">
        <f t="shared" si="16"/>
        <v>8550</v>
      </c>
      <c r="X26" s="119">
        <f t="shared" si="17"/>
        <v>8977.5</v>
      </c>
      <c r="Y26" s="119">
        <f t="shared" si="18"/>
        <v>9405</v>
      </c>
      <c r="Z26" s="119">
        <f t="shared" si="19"/>
        <v>9832.5</v>
      </c>
      <c r="AA26" s="120">
        <f t="shared" si="20"/>
        <v>10260</v>
      </c>
      <c r="AB26" s="112"/>
      <c r="AC26" s="112"/>
      <c r="AD26" s="113"/>
    </row>
    <row r="27" ht="21.75" customHeight="1">
      <c r="A27" s="114"/>
      <c r="B27" s="75"/>
      <c r="C27" s="107" t="s">
        <v>9</v>
      </c>
      <c r="D27" s="109">
        <f>G27*D15</f>
        <v>1165.5</v>
      </c>
      <c r="E27" s="109">
        <f>G27*E15</f>
        <v>1683.5</v>
      </c>
      <c r="F27" s="109">
        <f>G27*F15</f>
        <v>2201.5</v>
      </c>
      <c r="G27" s="110">
        <f>N9+Y10</f>
        <v>2590</v>
      </c>
      <c r="H27" s="109">
        <f t="shared" si="1"/>
        <v>3237.5</v>
      </c>
      <c r="I27" s="109">
        <f t="shared" si="2"/>
        <v>3885</v>
      </c>
      <c r="J27" s="109">
        <f t="shared" si="3"/>
        <v>4532.5</v>
      </c>
      <c r="K27" s="110">
        <f t="shared" si="4"/>
        <v>5180</v>
      </c>
      <c r="L27" s="109">
        <f t="shared" si="5"/>
        <v>5827.5</v>
      </c>
      <c r="M27" s="109">
        <f t="shared" si="6"/>
        <v>6475</v>
      </c>
      <c r="N27" s="109">
        <f t="shared" si="7"/>
        <v>7122.5</v>
      </c>
      <c r="O27" s="110">
        <f t="shared" si="8"/>
        <v>7770</v>
      </c>
      <c r="P27" s="109">
        <f t="shared" si="9"/>
        <v>8417.5</v>
      </c>
      <c r="Q27" s="109">
        <f t="shared" si="10"/>
        <v>9065</v>
      </c>
      <c r="R27" s="109">
        <f t="shared" si="11"/>
        <v>9712.5</v>
      </c>
      <c r="S27" s="110">
        <f t="shared" si="12"/>
        <v>10360</v>
      </c>
      <c r="T27" s="109">
        <f t="shared" si="13"/>
        <v>11007.5</v>
      </c>
      <c r="U27" s="109">
        <f t="shared" si="14"/>
        <v>11655</v>
      </c>
      <c r="V27" s="109">
        <f t="shared" si="15"/>
        <v>12302.5</v>
      </c>
      <c r="W27" s="110">
        <f t="shared" si="16"/>
        <v>12950</v>
      </c>
      <c r="X27" s="109">
        <f t="shared" si="17"/>
        <v>13597.5</v>
      </c>
      <c r="Y27" s="109">
        <f t="shared" si="18"/>
        <v>14245</v>
      </c>
      <c r="Z27" s="109">
        <f t="shared" si="19"/>
        <v>14892.5</v>
      </c>
      <c r="AA27" s="111">
        <f t="shared" si="20"/>
        <v>15540</v>
      </c>
      <c r="AB27" s="112"/>
      <c r="AC27" s="112"/>
      <c r="AD27" s="113"/>
    </row>
    <row r="28" ht="21.75" customHeight="1">
      <c r="A28" s="114"/>
      <c r="B28" s="75"/>
      <c r="C28" s="115" t="s">
        <v>41</v>
      </c>
      <c r="D28" s="116">
        <f>G28*D15</f>
        <v>900</v>
      </c>
      <c r="E28" s="116">
        <f>G28*E15</f>
        <v>1300</v>
      </c>
      <c r="F28" s="116">
        <f>G28*F15</f>
        <v>1700</v>
      </c>
      <c r="G28" s="117">
        <f>N9+Y11</f>
        <v>2000</v>
      </c>
      <c r="H28" s="116">
        <f t="shared" si="1"/>
        <v>2500</v>
      </c>
      <c r="I28" s="116">
        <f t="shared" si="2"/>
        <v>3000</v>
      </c>
      <c r="J28" s="116">
        <f t="shared" si="3"/>
        <v>3500</v>
      </c>
      <c r="K28" s="117">
        <f t="shared" si="4"/>
        <v>4000</v>
      </c>
      <c r="L28" s="116">
        <f t="shared" si="5"/>
        <v>4500</v>
      </c>
      <c r="M28" s="116">
        <f t="shared" si="6"/>
        <v>5000</v>
      </c>
      <c r="N28" s="116">
        <f t="shared" si="7"/>
        <v>5500</v>
      </c>
      <c r="O28" s="117">
        <f t="shared" si="8"/>
        <v>6000</v>
      </c>
      <c r="P28" s="116">
        <f t="shared" si="9"/>
        <v>6500</v>
      </c>
      <c r="Q28" s="116">
        <f t="shared" si="10"/>
        <v>7000</v>
      </c>
      <c r="R28" s="116">
        <f t="shared" si="11"/>
        <v>7500</v>
      </c>
      <c r="S28" s="117">
        <f t="shared" si="12"/>
        <v>8000</v>
      </c>
      <c r="T28" s="116">
        <f t="shared" si="13"/>
        <v>8500</v>
      </c>
      <c r="U28" s="116">
        <f t="shared" si="14"/>
        <v>9000</v>
      </c>
      <c r="V28" s="116">
        <f t="shared" si="15"/>
        <v>9500</v>
      </c>
      <c r="W28" s="117">
        <f t="shared" si="16"/>
        <v>10000</v>
      </c>
      <c r="X28" s="116">
        <f t="shared" si="17"/>
        <v>10500</v>
      </c>
      <c r="Y28" s="116">
        <f t="shared" si="18"/>
        <v>11000</v>
      </c>
      <c r="Z28" s="116">
        <f t="shared" si="19"/>
        <v>11500</v>
      </c>
      <c r="AA28" s="117">
        <f t="shared" si="20"/>
        <v>12000</v>
      </c>
      <c r="AB28" s="112"/>
      <c r="AC28" s="112"/>
      <c r="AD28" s="113"/>
    </row>
    <row r="29" ht="21.75" customHeight="1">
      <c r="A29" s="114"/>
      <c r="B29" s="84"/>
      <c r="C29" s="118" t="s">
        <v>11</v>
      </c>
      <c r="D29" s="119">
        <f>G29*D15</f>
        <v>805.5</v>
      </c>
      <c r="E29" s="119">
        <f>G29*E15</f>
        <v>1163.5</v>
      </c>
      <c r="F29" s="119">
        <f>G29*F15</f>
        <v>1521.5</v>
      </c>
      <c r="G29" s="120">
        <f>N9+Y12</f>
        <v>1790</v>
      </c>
      <c r="H29" s="119">
        <f t="shared" si="1"/>
        <v>2237.5</v>
      </c>
      <c r="I29" s="119">
        <f t="shared" si="2"/>
        <v>2685</v>
      </c>
      <c r="J29" s="119">
        <f t="shared" si="3"/>
        <v>3132.5</v>
      </c>
      <c r="K29" s="120">
        <f t="shared" si="4"/>
        <v>3580</v>
      </c>
      <c r="L29" s="119">
        <f t="shared" si="5"/>
        <v>4027.5</v>
      </c>
      <c r="M29" s="119">
        <f t="shared" si="6"/>
        <v>4475</v>
      </c>
      <c r="N29" s="119">
        <f t="shared" si="7"/>
        <v>4922.5</v>
      </c>
      <c r="O29" s="120">
        <f t="shared" si="8"/>
        <v>5370</v>
      </c>
      <c r="P29" s="119">
        <f t="shared" si="9"/>
        <v>5817.5</v>
      </c>
      <c r="Q29" s="119">
        <f t="shared" si="10"/>
        <v>6265</v>
      </c>
      <c r="R29" s="119">
        <f t="shared" si="11"/>
        <v>6712.5</v>
      </c>
      <c r="S29" s="120">
        <f t="shared" si="12"/>
        <v>7160</v>
      </c>
      <c r="T29" s="119">
        <f t="shared" si="13"/>
        <v>7607.5</v>
      </c>
      <c r="U29" s="119">
        <f t="shared" si="14"/>
        <v>8055</v>
      </c>
      <c r="V29" s="119">
        <f t="shared" si="15"/>
        <v>8502.5</v>
      </c>
      <c r="W29" s="120">
        <f t="shared" si="16"/>
        <v>8950</v>
      </c>
      <c r="X29" s="119">
        <f t="shared" si="17"/>
        <v>9397.5</v>
      </c>
      <c r="Y29" s="119">
        <f t="shared" si="18"/>
        <v>9845</v>
      </c>
      <c r="Z29" s="119">
        <f t="shared" si="19"/>
        <v>10292.5</v>
      </c>
      <c r="AA29" s="120">
        <f t="shared" si="20"/>
        <v>10740</v>
      </c>
      <c r="AB29" s="112"/>
      <c r="AC29" s="112"/>
      <c r="AD29" s="113"/>
    </row>
    <row r="30" ht="21.75" customHeight="1">
      <c r="A30" s="114"/>
      <c r="B30" s="106" t="s">
        <v>51</v>
      </c>
      <c r="C30" s="107" t="s">
        <v>5</v>
      </c>
      <c r="D30" s="109">
        <f>G30*D15</f>
        <v>1156.5</v>
      </c>
      <c r="E30" s="109">
        <f>G30*E15</f>
        <v>1670.5</v>
      </c>
      <c r="F30" s="109">
        <f>G30*F15</f>
        <v>2184.5</v>
      </c>
      <c r="G30" s="110">
        <f>N11+Y7</f>
        <v>2570</v>
      </c>
      <c r="H30" s="109">
        <f t="shared" si="1"/>
        <v>3212.5</v>
      </c>
      <c r="I30" s="109">
        <f t="shared" si="2"/>
        <v>3855</v>
      </c>
      <c r="J30" s="109">
        <f t="shared" si="3"/>
        <v>4497.5</v>
      </c>
      <c r="K30" s="110">
        <f t="shared" si="4"/>
        <v>5140</v>
      </c>
      <c r="L30" s="109">
        <f t="shared" si="5"/>
        <v>5782.5</v>
      </c>
      <c r="M30" s="109">
        <f t="shared" si="6"/>
        <v>6425</v>
      </c>
      <c r="N30" s="109">
        <f t="shared" si="7"/>
        <v>7067.5</v>
      </c>
      <c r="O30" s="110">
        <f t="shared" si="8"/>
        <v>7710</v>
      </c>
      <c r="P30" s="109">
        <f t="shared" si="9"/>
        <v>8352.5</v>
      </c>
      <c r="Q30" s="109">
        <f t="shared" si="10"/>
        <v>8995</v>
      </c>
      <c r="R30" s="109">
        <f t="shared" si="11"/>
        <v>9637.5</v>
      </c>
      <c r="S30" s="110">
        <f t="shared" si="12"/>
        <v>10280</v>
      </c>
      <c r="T30" s="109">
        <f t="shared" si="13"/>
        <v>10922.5</v>
      </c>
      <c r="U30" s="109">
        <f t="shared" si="14"/>
        <v>11565</v>
      </c>
      <c r="V30" s="109">
        <f t="shared" si="15"/>
        <v>12207.5</v>
      </c>
      <c r="W30" s="110">
        <f t="shared" si="16"/>
        <v>12850</v>
      </c>
      <c r="X30" s="109">
        <f t="shared" si="17"/>
        <v>13492.5</v>
      </c>
      <c r="Y30" s="109">
        <f t="shared" si="18"/>
        <v>14135</v>
      </c>
      <c r="Z30" s="109">
        <f t="shared" si="19"/>
        <v>14777.5</v>
      </c>
      <c r="AA30" s="111">
        <f t="shared" si="20"/>
        <v>15420</v>
      </c>
      <c r="AB30" s="112"/>
      <c r="AC30" s="112"/>
      <c r="AD30" s="113"/>
    </row>
    <row r="31" ht="21.75" customHeight="1">
      <c r="A31" s="114"/>
      <c r="B31" s="75"/>
      <c r="C31" s="115" t="s">
        <v>40</v>
      </c>
      <c r="D31" s="116">
        <f>G31*D15</f>
        <v>963</v>
      </c>
      <c r="E31" s="116">
        <f>G31*E15</f>
        <v>1391</v>
      </c>
      <c r="F31" s="116">
        <f>G31*F15</f>
        <v>1819</v>
      </c>
      <c r="G31" s="117">
        <f>N11+Y8</f>
        <v>2140</v>
      </c>
      <c r="H31" s="116">
        <f t="shared" si="1"/>
        <v>2675</v>
      </c>
      <c r="I31" s="116">
        <f t="shared" si="2"/>
        <v>3210</v>
      </c>
      <c r="J31" s="116">
        <f t="shared" si="3"/>
        <v>3745</v>
      </c>
      <c r="K31" s="117">
        <f t="shared" si="4"/>
        <v>4280</v>
      </c>
      <c r="L31" s="116">
        <f t="shared" si="5"/>
        <v>4815</v>
      </c>
      <c r="M31" s="116">
        <f t="shared" si="6"/>
        <v>5350</v>
      </c>
      <c r="N31" s="116">
        <f t="shared" si="7"/>
        <v>5885</v>
      </c>
      <c r="O31" s="117">
        <f t="shared" si="8"/>
        <v>6420</v>
      </c>
      <c r="P31" s="116">
        <f t="shared" si="9"/>
        <v>6955</v>
      </c>
      <c r="Q31" s="116">
        <f t="shared" si="10"/>
        <v>7490</v>
      </c>
      <c r="R31" s="116">
        <f t="shared" si="11"/>
        <v>8025</v>
      </c>
      <c r="S31" s="117">
        <f t="shared" si="12"/>
        <v>8560</v>
      </c>
      <c r="T31" s="116">
        <f t="shared" si="13"/>
        <v>9095</v>
      </c>
      <c r="U31" s="116">
        <f t="shared" si="14"/>
        <v>9630</v>
      </c>
      <c r="V31" s="116">
        <f t="shared" si="15"/>
        <v>10165</v>
      </c>
      <c r="W31" s="117">
        <f t="shared" si="16"/>
        <v>10700</v>
      </c>
      <c r="X31" s="116">
        <f t="shared" si="17"/>
        <v>11235</v>
      </c>
      <c r="Y31" s="116">
        <f t="shared" si="18"/>
        <v>11770</v>
      </c>
      <c r="Z31" s="116">
        <f t="shared" si="19"/>
        <v>12305</v>
      </c>
      <c r="AA31" s="117">
        <f t="shared" si="20"/>
        <v>12840</v>
      </c>
      <c r="AB31" s="112"/>
      <c r="AC31" s="112"/>
      <c r="AD31" s="113"/>
    </row>
    <row r="32" ht="21.75" customHeight="1">
      <c r="A32" s="114"/>
      <c r="B32" s="75"/>
      <c r="C32" s="118" t="s">
        <v>7</v>
      </c>
      <c r="D32" s="119">
        <f>G32*D15</f>
        <v>891</v>
      </c>
      <c r="E32" s="119">
        <f>G32*E15</f>
        <v>1287</v>
      </c>
      <c r="F32" s="119">
        <f>G32*F15</f>
        <v>1683</v>
      </c>
      <c r="G32" s="120">
        <f>N11+Y9</f>
        <v>1980</v>
      </c>
      <c r="H32" s="119">
        <f t="shared" si="1"/>
        <v>2475</v>
      </c>
      <c r="I32" s="119">
        <f t="shared" si="2"/>
        <v>2970</v>
      </c>
      <c r="J32" s="119">
        <f t="shared" si="3"/>
        <v>3465</v>
      </c>
      <c r="K32" s="120">
        <f t="shared" si="4"/>
        <v>3960</v>
      </c>
      <c r="L32" s="119">
        <f t="shared" si="5"/>
        <v>4455</v>
      </c>
      <c r="M32" s="119">
        <f t="shared" si="6"/>
        <v>4950</v>
      </c>
      <c r="N32" s="119">
        <f t="shared" si="7"/>
        <v>5445</v>
      </c>
      <c r="O32" s="120">
        <f t="shared" si="8"/>
        <v>5940</v>
      </c>
      <c r="P32" s="119">
        <f t="shared" si="9"/>
        <v>6435</v>
      </c>
      <c r="Q32" s="119">
        <f t="shared" si="10"/>
        <v>6930</v>
      </c>
      <c r="R32" s="119">
        <f t="shared" si="11"/>
        <v>7425</v>
      </c>
      <c r="S32" s="120">
        <f t="shared" si="12"/>
        <v>7920</v>
      </c>
      <c r="T32" s="119">
        <f t="shared" si="13"/>
        <v>8415</v>
      </c>
      <c r="U32" s="119">
        <f t="shared" si="14"/>
        <v>8910</v>
      </c>
      <c r="V32" s="119">
        <f t="shared" si="15"/>
        <v>9405</v>
      </c>
      <c r="W32" s="120">
        <f t="shared" si="16"/>
        <v>9900</v>
      </c>
      <c r="X32" s="119">
        <f t="shared" si="17"/>
        <v>10395</v>
      </c>
      <c r="Y32" s="119">
        <f t="shared" si="18"/>
        <v>10890</v>
      </c>
      <c r="Z32" s="119">
        <f t="shared" si="19"/>
        <v>11385</v>
      </c>
      <c r="AA32" s="120">
        <f t="shared" si="20"/>
        <v>11880</v>
      </c>
      <c r="AB32" s="112"/>
      <c r="AC32" s="112"/>
      <c r="AD32" s="113"/>
    </row>
    <row r="33" ht="21.75" customHeight="1">
      <c r="A33" s="114"/>
      <c r="B33" s="75"/>
      <c r="C33" s="107" t="s">
        <v>9</v>
      </c>
      <c r="D33" s="109">
        <f>G33*D15</f>
        <v>1287</v>
      </c>
      <c r="E33" s="109">
        <f>G33*E15</f>
        <v>1859</v>
      </c>
      <c r="F33" s="109">
        <f>G33*F15</f>
        <v>2431</v>
      </c>
      <c r="G33" s="110">
        <f>N11+Y10</f>
        <v>2860</v>
      </c>
      <c r="H33" s="109">
        <f t="shared" si="1"/>
        <v>3575</v>
      </c>
      <c r="I33" s="109">
        <f t="shared" si="2"/>
        <v>4290</v>
      </c>
      <c r="J33" s="109">
        <f t="shared" si="3"/>
        <v>5005</v>
      </c>
      <c r="K33" s="110">
        <f t="shared" si="4"/>
        <v>5720</v>
      </c>
      <c r="L33" s="109">
        <f t="shared" si="5"/>
        <v>6435</v>
      </c>
      <c r="M33" s="109">
        <f t="shared" si="6"/>
        <v>7150</v>
      </c>
      <c r="N33" s="109">
        <f t="shared" si="7"/>
        <v>7865</v>
      </c>
      <c r="O33" s="110">
        <f t="shared" si="8"/>
        <v>8580</v>
      </c>
      <c r="P33" s="109">
        <f t="shared" si="9"/>
        <v>9295</v>
      </c>
      <c r="Q33" s="109">
        <f t="shared" si="10"/>
        <v>10010</v>
      </c>
      <c r="R33" s="109">
        <f t="shared" si="11"/>
        <v>10725</v>
      </c>
      <c r="S33" s="110">
        <f t="shared" si="12"/>
        <v>11440</v>
      </c>
      <c r="T33" s="109">
        <f t="shared" si="13"/>
        <v>12155</v>
      </c>
      <c r="U33" s="109">
        <f t="shared" si="14"/>
        <v>12870</v>
      </c>
      <c r="V33" s="109">
        <f t="shared" si="15"/>
        <v>13585</v>
      </c>
      <c r="W33" s="110">
        <f t="shared" si="16"/>
        <v>14300</v>
      </c>
      <c r="X33" s="109">
        <f t="shared" si="17"/>
        <v>15015</v>
      </c>
      <c r="Y33" s="109">
        <f t="shared" si="18"/>
        <v>15730</v>
      </c>
      <c r="Z33" s="109">
        <f t="shared" si="19"/>
        <v>16445</v>
      </c>
      <c r="AA33" s="111">
        <f t="shared" si="20"/>
        <v>17160</v>
      </c>
      <c r="AB33" s="112"/>
      <c r="AC33" s="112"/>
      <c r="AD33" s="113"/>
    </row>
    <row r="34" ht="21.75" customHeight="1">
      <c r="A34" s="114"/>
      <c r="B34" s="75"/>
      <c r="C34" s="115" t="s">
        <v>41</v>
      </c>
      <c r="D34" s="116">
        <f>G34*D15</f>
        <v>1021.5</v>
      </c>
      <c r="E34" s="116">
        <f>G34*E15</f>
        <v>1475.5</v>
      </c>
      <c r="F34" s="116">
        <f>G34*F15</f>
        <v>1929.5</v>
      </c>
      <c r="G34" s="117">
        <f>N11+Y11</f>
        <v>2270</v>
      </c>
      <c r="H34" s="116">
        <f t="shared" si="1"/>
        <v>2837.5</v>
      </c>
      <c r="I34" s="116">
        <f t="shared" si="2"/>
        <v>3405</v>
      </c>
      <c r="J34" s="116">
        <f t="shared" si="3"/>
        <v>3972.5</v>
      </c>
      <c r="K34" s="117">
        <f t="shared" si="4"/>
        <v>4540</v>
      </c>
      <c r="L34" s="116">
        <f t="shared" si="5"/>
        <v>5107.5</v>
      </c>
      <c r="M34" s="116">
        <f t="shared" si="6"/>
        <v>5675</v>
      </c>
      <c r="N34" s="116">
        <f t="shared" si="7"/>
        <v>6242.5</v>
      </c>
      <c r="O34" s="117">
        <f t="shared" si="8"/>
        <v>6810</v>
      </c>
      <c r="P34" s="116">
        <f t="shared" si="9"/>
        <v>7377.5</v>
      </c>
      <c r="Q34" s="116">
        <f t="shared" si="10"/>
        <v>7945</v>
      </c>
      <c r="R34" s="116">
        <f t="shared" si="11"/>
        <v>8512.5</v>
      </c>
      <c r="S34" s="117">
        <f t="shared" si="12"/>
        <v>9080</v>
      </c>
      <c r="T34" s="116">
        <f t="shared" si="13"/>
        <v>9647.5</v>
      </c>
      <c r="U34" s="116">
        <f t="shared" si="14"/>
        <v>10215</v>
      </c>
      <c r="V34" s="116">
        <f t="shared" si="15"/>
        <v>10782.5</v>
      </c>
      <c r="W34" s="117">
        <f t="shared" si="16"/>
        <v>11350</v>
      </c>
      <c r="X34" s="116">
        <f t="shared" si="17"/>
        <v>11917.5</v>
      </c>
      <c r="Y34" s="116">
        <f t="shared" si="18"/>
        <v>12485</v>
      </c>
      <c r="Z34" s="116">
        <f t="shared" si="19"/>
        <v>13052.5</v>
      </c>
      <c r="AA34" s="117">
        <f t="shared" si="20"/>
        <v>13620</v>
      </c>
      <c r="AB34" s="112"/>
      <c r="AC34" s="112"/>
      <c r="AD34" s="113"/>
    </row>
    <row r="35" ht="21.75" customHeight="1">
      <c r="A35" s="114"/>
      <c r="B35" s="84"/>
      <c r="C35" s="118" t="s">
        <v>11</v>
      </c>
      <c r="D35" s="119">
        <f>G35*D15</f>
        <v>927</v>
      </c>
      <c r="E35" s="119">
        <f>G35*E15</f>
        <v>1339</v>
      </c>
      <c r="F35" s="119">
        <f>G35*F15</f>
        <v>1751</v>
      </c>
      <c r="G35" s="120">
        <f>N11+Y12</f>
        <v>2060</v>
      </c>
      <c r="H35" s="119">
        <f t="shared" si="1"/>
        <v>2575</v>
      </c>
      <c r="I35" s="119">
        <f t="shared" si="2"/>
        <v>3090</v>
      </c>
      <c r="J35" s="119">
        <f t="shared" si="3"/>
        <v>3605</v>
      </c>
      <c r="K35" s="120">
        <f t="shared" si="4"/>
        <v>4120</v>
      </c>
      <c r="L35" s="119">
        <f t="shared" si="5"/>
        <v>4635</v>
      </c>
      <c r="M35" s="119">
        <f t="shared" si="6"/>
        <v>5150</v>
      </c>
      <c r="N35" s="119">
        <f t="shared" si="7"/>
        <v>5665</v>
      </c>
      <c r="O35" s="120">
        <f t="shared" si="8"/>
        <v>6180</v>
      </c>
      <c r="P35" s="119">
        <f t="shared" si="9"/>
        <v>6695</v>
      </c>
      <c r="Q35" s="119">
        <f t="shared" si="10"/>
        <v>7210</v>
      </c>
      <c r="R35" s="119">
        <f t="shared" si="11"/>
        <v>7725</v>
      </c>
      <c r="S35" s="120">
        <f t="shared" si="12"/>
        <v>8240</v>
      </c>
      <c r="T35" s="119">
        <f t="shared" si="13"/>
        <v>8755</v>
      </c>
      <c r="U35" s="119">
        <f t="shared" si="14"/>
        <v>9270</v>
      </c>
      <c r="V35" s="119">
        <f t="shared" si="15"/>
        <v>9785</v>
      </c>
      <c r="W35" s="120">
        <f t="shared" si="16"/>
        <v>10300</v>
      </c>
      <c r="X35" s="119">
        <f t="shared" si="17"/>
        <v>10815</v>
      </c>
      <c r="Y35" s="119">
        <f t="shared" si="18"/>
        <v>11330</v>
      </c>
      <c r="Z35" s="119">
        <f t="shared" si="19"/>
        <v>11845</v>
      </c>
      <c r="AA35" s="120">
        <f t="shared" si="20"/>
        <v>12360</v>
      </c>
      <c r="AB35" s="112"/>
      <c r="AC35" s="112"/>
      <c r="AD35" s="113"/>
    </row>
    <row r="36" ht="21.75" customHeight="1">
      <c r="A36" s="114"/>
      <c r="B36" s="106" t="s">
        <v>47</v>
      </c>
      <c r="C36" s="107" t="s">
        <v>5</v>
      </c>
      <c r="D36" s="109">
        <f>G36*D15</f>
        <v>985.5</v>
      </c>
      <c r="E36" s="109">
        <f>G36*E15</f>
        <v>1423.5</v>
      </c>
      <c r="F36" s="109">
        <f>G36*F15</f>
        <v>1861.5</v>
      </c>
      <c r="G36" s="110">
        <f>N13+Y7</f>
        <v>2190</v>
      </c>
      <c r="H36" s="109">
        <f t="shared" si="1"/>
        <v>2737.5</v>
      </c>
      <c r="I36" s="109">
        <f t="shared" si="2"/>
        <v>3285</v>
      </c>
      <c r="J36" s="109">
        <f t="shared" si="3"/>
        <v>3832.5</v>
      </c>
      <c r="K36" s="110">
        <f t="shared" si="4"/>
        <v>4380</v>
      </c>
      <c r="L36" s="109">
        <f t="shared" si="5"/>
        <v>4927.5</v>
      </c>
      <c r="M36" s="109">
        <f t="shared" si="6"/>
        <v>5475</v>
      </c>
      <c r="N36" s="109">
        <f t="shared" si="7"/>
        <v>6022.5</v>
      </c>
      <c r="O36" s="110">
        <f t="shared" si="8"/>
        <v>6570</v>
      </c>
      <c r="P36" s="109">
        <f t="shared" si="9"/>
        <v>7117.5</v>
      </c>
      <c r="Q36" s="109">
        <f t="shared" si="10"/>
        <v>7665</v>
      </c>
      <c r="R36" s="109">
        <f t="shared" si="11"/>
        <v>8212.5</v>
      </c>
      <c r="S36" s="110">
        <f t="shared" si="12"/>
        <v>8760</v>
      </c>
      <c r="T36" s="109">
        <f t="shared" si="13"/>
        <v>9307.5</v>
      </c>
      <c r="U36" s="109">
        <f t="shared" si="14"/>
        <v>9855</v>
      </c>
      <c r="V36" s="109">
        <f t="shared" si="15"/>
        <v>10402.5</v>
      </c>
      <c r="W36" s="110">
        <f t="shared" si="16"/>
        <v>10950</v>
      </c>
      <c r="X36" s="109">
        <f t="shared" si="17"/>
        <v>11497.5</v>
      </c>
      <c r="Y36" s="109">
        <f t="shared" si="18"/>
        <v>12045</v>
      </c>
      <c r="Z36" s="109">
        <f t="shared" si="19"/>
        <v>12592.5</v>
      </c>
      <c r="AA36" s="110">
        <f t="shared" si="20"/>
        <v>13140</v>
      </c>
      <c r="AB36" s="113"/>
      <c r="AC36" s="113"/>
      <c r="AD36" s="113"/>
    </row>
    <row r="37" ht="21.75" customHeight="1">
      <c r="A37" s="114"/>
      <c r="B37" s="75"/>
      <c r="C37" s="115" t="s">
        <v>40</v>
      </c>
      <c r="D37" s="116">
        <f>G37*D15</f>
        <v>792</v>
      </c>
      <c r="E37" s="116">
        <f>G37*E15</f>
        <v>1144</v>
      </c>
      <c r="F37" s="116">
        <f>G37*F15</f>
        <v>1496</v>
      </c>
      <c r="G37" s="117">
        <f>N13+Y8</f>
        <v>1760</v>
      </c>
      <c r="H37" s="116">
        <f t="shared" si="1"/>
        <v>2200</v>
      </c>
      <c r="I37" s="116">
        <f t="shared" si="2"/>
        <v>2640</v>
      </c>
      <c r="J37" s="116">
        <f t="shared" si="3"/>
        <v>3080</v>
      </c>
      <c r="K37" s="117">
        <f t="shared" si="4"/>
        <v>3520</v>
      </c>
      <c r="L37" s="116">
        <f t="shared" si="5"/>
        <v>3960</v>
      </c>
      <c r="M37" s="116">
        <f t="shared" si="6"/>
        <v>4400</v>
      </c>
      <c r="N37" s="116">
        <f t="shared" si="7"/>
        <v>4840</v>
      </c>
      <c r="O37" s="117">
        <f t="shared" si="8"/>
        <v>5280</v>
      </c>
      <c r="P37" s="116">
        <f t="shared" si="9"/>
        <v>5720</v>
      </c>
      <c r="Q37" s="116">
        <f t="shared" si="10"/>
        <v>6160</v>
      </c>
      <c r="R37" s="116">
        <f t="shared" si="11"/>
        <v>6600</v>
      </c>
      <c r="S37" s="117">
        <f t="shared" si="12"/>
        <v>7040</v>
      </c>
      <c r="T37" s="116">
        <f t="shared" si="13"/>
        <v>7480</v>
      </c>
      <c r="U37" s="116">
        <f t="shared" si="14"/>
        <v>7920</v>
      </c>
      <c r="V37" s="116">
        <f t="shared" si="15"/>
        <v>8360</v>
      </c>
      <c r="W37" s="117">
        <f t="shared" si="16"/>
        <v>8800</v>
      </c>
      <c r="X37" s="116">
        <f t="shared" si="17"/>
        <v>9240</v>
      </c>
      <c r="Y37" s="116">
        <f t="shared" si="18"/>
        <v>9680</v>
      </c>
      <c r="Z37" s="116">
        <f t="shared" si="19"/>
        <v>10120</v>
      </c>
      <c r="AA37" s="117">
        <f t="shared" si="20"/>
        <v>10560</v>
      </c>
      <c r="AB37" s="113"/>
      <c r="AC37" s="113"/>
      <c r="AD37" s="113"/>
    </row>
    <row r="38" ht="21.75" customHeight="1">
      <c r="A38" s="114"/>
      <c r="B38" s="75"/>
      <c r="C38" s="118" t="s">
        <v>7</v>
      </c>
      <c r="D38" s="119">
        <f>G38*D15</f>
        <v>720</v>
      </c>
      <c r="E38" s="119">
        <f>G38*E15</f>
        <v>1040</v>
      </c>
      <c r="F38" s="119">
        <f>G38*F15</f>
        <v>1360</v>
      </c>
      <c r="G38" s="120">
        <f>N13+Y9</f>
        <v>1600</v>
      </c>
      <c r="H38" s="119">
        <f t="shared" si="1"/>
        <v>2000</v>
      </c>
      <c r="I38" s="119">
        <f t="shared" si="2"/>
        <v>2400</v>
      </c>
      <c r="J38" s="119">
        <f t="shared" si="3"/>
        <v>2800</v>
      </c>
      <c r="K38" s="120">
        <f t="shared" si="4"/>
        <v>3200</v>
      </c>
      <c r="L38" s="119">
        <f t="shared" si="5"/>
        <v>3600</v>
      </c>
      <c r="M38" s="119">
        <f t="shared" si="6"/>
        <v>4000</v>
      </c>
      <c r="N38" s="119">
        <f t="shared" si="7"/>
        <v>4400</v>
      </c>
      <c r="O38" s="120">
        <f t="shared" si="8"/>
        <v>4800</v>
      </c>
      <c r="P38" s="119">
        <f t="shared" si="9"/>
        <v>5200</v>
      </c>
      <c r="Q38" s="119">
        <f t="shared" si="10"/>
        <v>5600</v>
      </c>
      <c r="R38" s="119">
        <f t="shared" si="11"/>
        <v>6000</v>
      </c>
      <c r="S38" s="120">
        <f t="shared" si="12"/>
        <v>6400</v>
      </c>
      <c r="T38" s="119">
        <f t="shared" si="13"/>
        <v>6800</v>
      </c>
      <c r="U38" s="119">
        <f t="shared" si="14"/>
        <v>7200</v>
      </c>
      <c r="V38" s="119">
        <f t="shared" si="15"/>
        <v>7600</v>
      </c>
      <c r="W38" s="120">
        <f t="shared" si="16"/>
        <v>8000</v>
      </c>
      <c r="X38" s="119">
        <f t="shared" si="17"/>
        <v>8400</v>
      </c>
      <c r="Y38" s="119">
        <f t="shared" si="18"/>
        <v>8800</v>
      </c>
      <c r="Z38" s="119">
        <f t="shared" si="19"/>
        <v>9200</v>
      </c>
      <c r="AA38" s="120">
        <f t="shared" si="20"/>
        <v>9600</v>
      </c>
      <c r="AB38" s="113"/>
      <c r="AC38" s="113"/>
      <c r="AD38" s="113"/>
    </row>
    <row r="39" ht="21.75" customHeight="1">
      <c r="A39" s="114"/>
      <c r="B39" s="75"/>
      <c r="C39" s="107" t="s">
        <v>9</v>
      </c>
      <c r="D39" s="109">
        <f>G39*D15</f>
        <v>1116</v>
      </c>
      <c r="E39" s="109">
        <f>G39*E15</f>
        <v>1612</v>
      </c>
      <c r="F39" s="109">
        <f>G39*F15</f>
        <v>2108</v>
      </c>
      <c r="G39" s="110">
        <f>N13+Y10</f>
        <v>2480</v>
      </c>
      <c r="H39" s="109">
        <f t="shared" si="1"/>
        <v>3100</v>
      </c>
      <c r="I39" s="109">
        <f t="shared" si="2"/>
        <v>3720</v>
      </c>
      <c r="J39" s="109">
        <f t="shared" si="3"/>
        <v>4340</v>
      </c>
      <c r="K39" s="110">
        <f t="shared" si="4"/>
        <v>4960</v>
      </c>
      <c r="L39" s="109">
        <f t="shared" si="5"/>
        <v>5580</v>
      </c>
      <c r="M39" s="109">
        <f t="shared" si="6"/>
        <v>6200</v>
      </c>
      <c r="N39" s="109">
        <f t="shared" si="7"/>
        <v>6820</v>
      </c>
      <c r="O39" s="110">
        <f t="shared" si="8"/>
        <v>7440</v>
      </c>
      <c r="P39" s="109">
        <f t="shared" si="9"/>
        <v>8060</v>
      </c>
      <c r="Q39" s="109">
        <f t="shared" si="10"/>
        <v>8680</v>
      </c>
      <c r="R39" s="109">
        <f t="shared" si="11"/>
        <v>9300</v>
      </c>
      <c r="S39" s="110">
        <f t="shared" si="12"/>
        <v>9920</v>
      </c>
      <c r="T39" s="109">
        <f t="shared" si="13"/>
        <v>10540</v>
      </c>
      <c r="U39" s="109">
        <f t="shared" si="14"/>
        <v>11160</v>
      </c>
      <c r="V39" s="109">
        <f t="shared" si="15"/>
        <v>11780</v>
      </c>
      <c r="W39" s="110">
        <f t="shared" si="16"/>
        <v>12400</v>
      </c>
      <c r="X39" s="109">
        <f t="shared" si="17"/>
        <v>13020</v>
      </c>
      <c r="Y39" s="109">
        <f t="shared" si="18"/>
        <v>13640</v>
      </c>
      <c r="Z39" s="109">
        <f t="shared" si="19"/>
        <v>14260</v>
      </c>
      <c r="AA39" s="110">
        <f t="shared" si="20"/>
        <v>14880</v>
      </c>
      <c r="AB39" s="113"/>
      <c r="AC39" s="113"/>
      <c r="AD39" s="113"/>
    </row>
    <row r="40" ht="21.75" customHeight="1">
      <c r="A40" s="114"/>
      <c r="B40" s="75"/>
      <c r="C40" s="115" t="s">
        <v>41</v>
      </c>
      <c r="D40" s="116">
        <f>G40*D15</f>
        <v>850.5</v>
      </c>
      <c r="E40" s="116">
        <f>G40*E15</f>
        <v>1228.5</v>
      </c>
      <c r="F40" s="116">
        <f>G40*F15</f>
        <v>1606.5</v>
      </c>
      <c r="G40" s="117">
        <f>N13+Y11</f>
        <v>1890</v>
      </c>
      <c r="H40" s="116">
        <f t="shared" si="1"/>
        <v>2362.5</v>
      </c>
      <c r="I40" s="116">
        <f t="shared" si="2"/>
        <v>2835</v>
      </c>
      <c r="J40" s="116">
        <f t="shared" si="3"/>
        <v>3307.5</v>
      </c>
      <c r="K40" s="117">
        <f t="shared" si="4"/>
        <v>3780</v>
      </c>
      <c r="L40" s="116">
        <f t="shared" si="5"/>
        <v>4252.5</v>
      </c>
      <c r="M40" s="116">
        <f t="shared" si="6"/>
        <v>4725</v>
      </c>
      <c r="N40" s="116">
        <f t="shared" si="7"/>
        <v>5197.5</v>
      </c>
      <c r="O40" s="117">
        <f t="shared" si="8"/>
        <v>5670</v>
      </c>
      <c r="P40" s="116">
        <f t="shared" si="9"/>
        <v>6142.5</v>
      </c>
      <c r="Q40" s="116">
        <f t="shared" si="10"/>
        <v>6615</v>
      </c>
      <c r="R40" s="116">
        <f t="shared" si="11"/>
        <v>7087.5</v>
      </c>
      <c r="S40" s="117">
        <f t="shared" si="12"/>
        <v>7560</v>
      </c>
      <c r="T40" s="116">
        <f t="shared" si="13"/>
        <v>8032.5</v>
      </c>
      <c r="U40" s="116">
        <f t="shared" si="14"/>
        <v>8505</v>
      </c>
      <c r="V40" s="116">
        <f t="shared" si="15"/>
        <v>8977.5</v>
      </c>
      <c r="W40" s="117">
        <f t="shared" si="16"/>
        <v>9450</v>
      </c>
      <c r="X40" s="116">
        <f t="shared" si="17"/>
        <v>9922.5</v>
      </c>
      <c r="Y40" s="116">
        <f t="shared" si="18"/>
        <v>10395</v>
      </c>
      <c r="Z40" s="116">
        <f t="shared" si="19"/>
        <v>10867.5</v>
      </c>
      <c r="AA40" s="117">
        <f t="shared" si="20"/>
        <v>11340</v>
      </c>
      <c r="AB40" s="113"/>
      <c r="AC40" s="113"/>
      <c r="AD40" s="113"/>
    </row>
    <row r="41" ht="21.75" customHeight="1">
      <c r="A41" s="114"/>
      <c r="B41" s="84"/>
      <c r="C41" s="118" t="s">
        <v>11</v>
      </c>
      <c r="D41" s="119">
        <f>G41*D15</f>
        <v>756</v>
      </c>
      <c r="E41" s="119">
        <f>G41*E15</f>
        <v>1092</v>
      </c>
      <c r="F41" s="119">
        <f>G41*F15</f>
        <v>1428</v>
      </c>
      <c r="G41" s="120">
        <f>N13+Y12</f>
        <v>1680</v>
      </c>
      <c r="H41" s="119">
        <f t="shared" si="1"/>
        <v>2100</v>
      </c>
      <c r="I41" s="119">
        <f t="shared" si="2"/>
        <v>2520</v>
      </c>
      <c r="J41" s="119">
        <f t="shared" si="3"/>
        <v>2940</v>
      </c>
      <c r="K41" s="120">
        <f t="shared" si="4"/>
        <v>3360</v>
      </c>
      <c r="L41" s="119">
        <f t="shared" si="5"/>
        <v>3780</v>
      </c>
      <c r="M41" s="119">
        <f t="shared" si="6"/>
        <v>4200</v>
      </c>
      <c r="N41" s="119">
        <f t="shared" si="7"/>
        <v>4620</v>
      </c>
      <c r="O41" s="120">
        <f t="shared" si="8"/>
        <v>5040</v>
      </c>
      <c r="P41" s="119">
        <f t="shared" si="9"/>
        <v>5460</v>
      </c>
      <c r="Q41" s="119">
        <f t="shared" si="10"/>
        <v>5880</v>
      </c>
      <c r="R41" s="119">
        <f t="shared" si="11"/>
        <v>6300</v>
      </c>
      <c r="S41" s="120">
        <f t="shared" si="12"/>
        <v>6720</v>
      </c>
      <c r="T41" s="119">
        <f t="shared" si="13"/>
        <v>7140</v>
      </c>
      <c r="U41" s="119">
        <f t="shared" si="14"/>
        <v>7560</v>
      </c>
      <c r="V41" s="119">
        <f t="shared" si="15"/>
        <v>7980</v>
      </c>
      <c r="W41" s="120">
        <f t="shared" si="16"/>
        <v>8400</v>
      </c>
      <c r="X41" s="119">
        <f t="shared" si="17"/>
        <v>8820</v>
      </c>
      <c r="Y41" s="119">
        <f t="shared" si="18"/>
        <v>9240</v>
      </c>
      <c r="Z41" s="119">
        <f t="shared" si="19"/>
        <v>9660</v>
      </c>
      <c r="AA41" s="120">
        <f t="shared" si="20"/>
        <v>10080</v>
      </c>
      <c r="AB41" s="113"/>
      <c r="AC41" s="113"/>
      <c r="AD41" s="11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0" customHeight="1">
      <c r="A44" s="2" t="s">
        <v>45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0" customHeight="1">
      <c r="A45" s="85" t="s">
        <v>52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34">
    <mergeCell ref="R7:T9"/>
    <mergeCell ref="U7:X7"/>
    <mergeCell ref="U8:X8"/>
    <mergeCell ref="U9:X9"/>
    <mergeCell ref="Y7:AA7"/>
    <mergeCell ref="Y8:AA8"/>
    <mergeCell ref="J9:M10"/>
    <mergeCell ref="N9:O10"/>
    <mergeCell ref="Y9:AA9"/>
    <mergeCell ref="R10:T12"/>
    <mergeCell ref="U10:X10"/>
    <mergeCell ref="Y10:AA10"/>
    <mergeCell ref="U11:X11"/>
    <mergeCell ref="Y11:AA11"/>
    <mergeCell ref="U12:X12"/>
    <mergeCell ref="Y12:AA12"/>
    <mergeCell ref="J11:M12"/>
    <mergeCell ref="N11:O12"/>
    <mergeCell ref="A18:A41"/>
    <mergeCell ref="B18:B23"/>
    <mergeCell ref="B24:B29"/>
    <mergeCell ref="B30:B35"/>
    <mergeCell ref="B36:B41"/>
    <mergeCell ref="J13:M13"/>
    <mergeCell ref="N13:O13"/>
    <mergeCell ref="A16:B16"/>
    <mergeCell ref="A17:AA17"/>
    <mergeCell ref="A1:AA6"/>
    <mergeCell ref="A7:B12"/>
    <mergeCell ref="C7:D12"/>
    <mergeCell ref="F7:G13"/>
    <mergeCell ref="H7:I13"/>
    <mergeCell ref="J7:M8"/>
    <mergeCell ref="N7:O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20.13"/>
    <col customWidth="1" min="3" max="3" width="17.0"/>
    <col customWidth="1" min="4" max="6" width="10.13"/>
    <col customWidth="1" min="7" max="7" width="11.0"/>
    <col customWidth="1" min="8" max="10" width="10.13"/>
    <col customWidth="1" min="11" max="11" width="11.0"/>
    <col customWidth="1" min="12" max="14" width="10.13"/>
    <col customWidth="1" min="15" max="15" width="11.0"/>
    <col customWidth="1" min="16" max="17" width="10.13"/>
    <col customWidth="1" min="18" max="18" width="11.5"/>
    <col customWidth="1" min="19" max="19" width="12.38"/>
    <col customWidth="1" min="20" max="22" width="11.5"/>
    <col customWidth="1" min="23" max="23" width="12.38"/>
    <col customWidth="1" min="24" max="26" width="11.5"/>
    <col customWidth="1" min="27" max="27" width="12.38"/>
    <col customWidth="1" min="29" max="29" width="9.0"/>
    <col customWidth="1" min="30" max="30" width="1.13"/>
  </cols>
  <sheetData>
    <row r="1" ht="15.0" customHeight="1">
      <c r="A1" s="1" t="s">
        <v>0</v>
      </c>
      <c r="AB1" s="2"/>
      <c r="AC1" s="2"/>
      <c r="AD1" s="2"/>
    </row>
    <row r="2" ht="15.0" customHeight="1">
      <c r="AB2" s="2"/>
      <c r="AC2" s="2"/>
      <c r="AD2" s="2"/>
    </row>
    <row r="3" ht="15.0" customHeight="1">
      <c r="AB3" s="2"/>
      <c r="AC3" s="2"/>
      <c r="AD3" s="2"/>
    </row>
    <row r="4" ht="15.0" customHeight="1">
      <c r="AB4" s="2"/>
      <c r="AC4" s="2"/>
      <c r="AD4" s="2"/>
    </row>
    <row r="5" ht="15.0" customHeight="1">
      <c r="AB5" s="2"/>
      <c r="AC5" s="2"/>
      <c r="AD5" s="2"/>
    </row>
    <row r="6" ht="15.0" customHeight="1">
      <c r="AB6" s="2"/>
      <c r="AC6" s="2"/>
      <c r="AD6" s="2"/>
    </row>
    <row r="7" ht="15.75" customHeight="1">
      <c r="A7" s="86" t="s">
        <v>1</v>
      </c>
      <c r="B7" s="4"/>
      <c r="C7" s="5" t="s">
        <v>2</v>
      </c>
      <c r="D7" s="6"/>
      <c r="E7" s="123"/>
      <c r="F7" s="124" t="s">
        <v>3</v>
      </c>
      <c r="G7" s="37"/>
      <c r="H7" s="9" t="str">
        <f>A17</f>
        <v>TOEIC</v>
      </c>
      <c r="I7" s="10"/>
      <c r="J7" s="125" t="str">
        <f>B17</f>
        <v>TOEIC Regular</v>
      </c>
      <c r="K7" s="33"/>
      <c r="L7" s="33"/>
      <c r="M7" s="34"/>
      <c r="N7" s="38">
        <v>1100.0</v>
      </c>
      <c r="O7" s="10"/>
      <c r="P7" s="126"/>
      <c r="Q7" s="7"/>
      <c r="R7" s="17" t="s">
        <v>4</v>
      </c>
      <c r="S7" s="18"/>
      <c r="T7" s="4"/>
      <c r="U7" s="19" t="s">
        <v>5</v>
      </c>
      <c r="V7" s="20"/>
      <c r="W7" s="20"/>
      <c r="X7" s="21"/>
      <c r="Y7" s="22">
        <v>1400.0</v>
      </c>
      <c r="Z7" s="20"/>
      <c r="AA7" s="20"/>
      <c r="AB7" s="23"/>
      <c r="AC7" s="2"/>
      <c r="AD7" s="2"/>
    </row>
    <row r="8" ht="15.75" customHeight="1">
      <c r="A8" s="24"/>
      <c r="B8" s="6"/>
      <c r="C8" s="25"/>
      <c r="D8" s="6"/>
      <c r="E8" s="56"/>
      <c r="F8" s="25"/>
      <c r="H8" s="25"/>
      <c r="I8" s="6"/>
      <c r="J8" s="127" t="str">
        <f>B23</f>
        <v>TOEIC GUARANTEE
12 WEEKS</v>
      </c>
      <c r="M8" s="6"/>
      <c r="N8" s="38">
        <v>1260.0</v>
      </c>
      <c r="O8" s="10"/>
      <c r="P8" s="44"/>
      <c r="Q8" s="26"/>
      <c r="R8" s="25"/>
      <c r="T8" s="6"/>
      <c r="U8" s="32" t="s">
        <v>6</v>
      </c>
      <c r="V8" s="33"/>
      <c r="W8" s="33"/>
      <c r="X8" s="34"/>
      <c r="Y8" s="35">
        <v>970.0</v>
      </c>
      <c r="Z8" s="33"/>
      <c r="AA8" s="33"/>
      <c r="AB8" s="23"/>
      <c r="AC8" s="2"/>
      <c r="AD8" s="2"/>
    </row>
    <row r="9" ht="15.75" customHeight="1">
      <c r="A9" s="24"/>
      <c r="B9" s="6"/>
      <c r="C9" s="25"/>
      <c r="D9" s="6"/>
      <c r="E9" s="56"/>
      <c r="F9" s="25"/>
      <c r="H9" s="41"/>
      <c r="I9" s="29"/>
      <c r="J9" s="41"/>
      <c r="K9" s="28"/>
      <c r="L9" s="28"/>
      <c r="M9" s="29"/>
      <c r="N9" s="25"/>
      <c r="O9" s="6"/>
      <c r="P9" s="44"/>
      <c r="Q9" s="26"/>
      <c r="R9" s="41"/>
      <c r="S9" s="28"/>
      <c r="T9" s="29"/>
      <c r="U9" s="32" t="s">
        <v>7</v>
      </c>
      <c r="V9" s="33"/>
      <c r="W9" s="33"/>
      <c r="X9" s="34"/>
      <c r="Y9" s="42">
        <v>810.0</v>
      </c>
      <c r="Z9" s="33"/>
      <c r="AA9" s="33"/>
      <c r="AB9" s="23"/>
      <c r="AC9" s="2"/>
      <c r="AD9" s="2"/>
    </row>
    <row r="10" ht="15.75" customHeight="1">
      <c r="A10" s="24"/>
      <c r="B10" s="6"/>
      <c r="C10" s="25"/>
      <c r="D10" s="6"/>
      <c r="E10" s="56"/>
      <c r="F10" s="25"/>
      <c r="H10" s="9" t="s">
        <v>53</v>
      </c>
      <c r="I10" s="10"/>
      <c r="J10" s="128" t="s">
        <v>54</v>
      </c>
      <c r="K10" s="33"/>
      <c r="L10" s="33"/>
      <c r="M10" s="34"/>
      <c r="N10" s="129">
        <v>1280.0</v>
      </c>
      <c r="O10" s="34"/>
      <c r="P10" s="44"/>
      <c r="Q10" s="26"/>
      <c r="R10" s="45" t="s">
        <v>8</v>
      </c>
      <c r="S10" s="37"/>
      <c r="T10" s="10"/>
      <c r="U10" s="46" t="s">
        <v>9</v>
      </c>
      <c r="V10" s="33"/>
      <c r="W10" s="33"/>
      <c r="X10" s="34"/>
      <c r="Y10" s="47">
        <v>1690.0</v>
      </c>
      <c r="Z10" s="33"/>
      <c r="AA10" s="33"/>
      <c r="AB10" s="23"/>
      <c r="AC10" s="2"/>
      <c r="AD10" s="2"/>
    </row>
    <row r="11" ht="15.75" customHeight="1">
      <c r="A11" s="24"/>
      <c r="B11" s="6"/>
      <c r="C11" s="25"/>
      <c r="D11" s="6"/>
      <c r="E11" s="130"/>
      <c r="F11" s="25"/>
      <c r="H11" s="25"/>
      <c r="I11" s="6"/>
      <c r="J11" s="128" t="s">
        <v>55</v>
      </c>
      <c r="K11" s="33"/>
      <c r="L11" s="33"/>
      <c r="M11" s="34"/>
      <c r="N11" s="129">
        <v>1150.0</v>
      </c>
      <c r="O11" s="34"/>
      <c r="P11" s="44"/>
      <c r="Q11" s="26"/>
      <c r="R11" s="25"/>
      <c r="T11" s="6"/>
      <c r="U11" s="46" t="s">
        <v>10</v>
      </c>
      <c r="V11" s="33"/>
      <c r="W11" s="33"/>
      <c r="X11" s="34"/>
      <c r="Y11" s="51">
        <v>1100.0</v>
      </c>
      <c r="Z11" s="33"/>
      <c r="AA11" s="33"/>
      <c r="AB11" s="23"/>
      <c r="AC11" s="2"/>
      <c r="AD11" s="2"/>
    </row>
    <row r="12" ht="15.75" customHeight="1">
      <c r="A12" s="27"/>
      <c r="B12" s="29"/>
      <c r="C12" s="41"/>
      <c r="D12" s="29"/>
      <c r="E12" s="130"/>
      <c r="F12" s="41"/>
      <c r="G12" s="28"/>
      <c r="H12" s="41"/>
      <c r="I12" s="29"/>
      <c r="J12" s="128" t="s">
        <v>56</v>
      </c>
      <c r="K12" s="33"/>
      <c r="L12" s="33"/>
      <c r="M12" s="34"/>
      <c r="N12" s="129">
        <v>1200.0</v>
      </c>
      <c r="O12" s="34"/>
      <c r="P12" s="44"/>
      <c r="Q12" s="26"/>
      <c r="R12" s="41"/>
      <c r="S12" s="28"/>
      <c r="T12" s="29"/>
      <c r="U12" s="46" t="s">
        <v>11</v>
      </c>
      <c r="V12" s="33"/>
      <c r="W12" s="33"/>
      <c r="X12" s="34"/>
      <c r="Y12" s="47">
        <v>890.0</v>
      </c>
      <c r="Z12" s="33"/>
      <c r="AA12" s="33"/>
      <c r="AB12" s="23"/>
      <c r="AC12" s="2"/>
      <c r="AD12" s="2"/>
    </row>
    <row r="13" ht="19.5" customHeight="1">
      <c r="A13" s="44"/>
      <c r="B13" s="26"/>
      <c r="C13" s="26"/>
      <c r="D13" s="26"/>
      <c r="E13" s="26"/>
      <c r="F13" s="7"/>
      <c r="G13" s="7"/>
      <c r="H13" s="26"/>
      <c r="I13" s="26"/>
      <c r="J13" s="7"/>
      <c r="K13" s="7"/>
      <c r="L13" s="7"/>
      <c r="M13" s="7"/>
      <c r="N13" s="7"/>
      <c r="O13" s="7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56"/>
      <c r="AB13" s="2"/>
      <c r="AC13" s="2"/>
      <c r="AD13" s="2"/>
    </row>
    <row r="14" ht="19.5" customHeight="1">
      <c r="A14" s="44"/>
      <c r="B14" s="26"/>
      <c r="C14" s="26"/>
      <c r="D14" s="57">
        <v>0.45</v>
      </c>
      <c r="E14" s="57">
        <v>0.65</v>
      </c>
      <c r="F14" s="57">
        <v>0.85</v>
      </c>
      <c r="G14" s="26"/>
      <c r="H14" s="58"/>
      <c r="I14" s="59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56"/>
      <c r="AB14" s="2"/>
      <c r="AC14" s="2"/>
      <c r="AD14" s="2"/>
    </row>
    <row r="15" ht="22.5" customHeight="1">
      <c r="A15" s="60" t="s">
        <v>12</v>
      </c>
      <c r="B15" s="34"/>
      <c r="C15" s="61" t="s">
        <v>13</v>
      </c>
      <c r="D15" s="61" t="s">
        <v>14</v>
      </c>
      <c r="E15" s="61" t="s">
        <v>15</v>
      </c>
      <c r="F15" s="61" t="s">
        <v>16</v>
      </c>
      <c r="G15" s="61" t="s">
        <v>17</v>
      </c>
      <c r="H15" s="61" t="s">
        <v>18</v>
      </c>
      <c r="I15" s="61" t="s">
        <v>19</v>
      </c>
      <c r="J15" s="61" t="s">
        <v>20</v>
      </c>
      <c r="K15" s="61" t="s">
        <v>21</v>
      </c>
      <c r="L15" s="61" t="s">
        <v>22</v>
      </c>
      <c r="M15" s="61" t="s">
        <v>23</v>
      </c>
      <c r="N15" s="61" t="s">
        <v>24</v>
      </c>
      <c r="O15" s="61" t="s">
        <v>25</v>
      </c>
      <c r="P15" s="61" t="s">
        <v>26</v>
      </c>
      <c r="Q15" s="61" t="s">
        <v>27</v>
      </c>
      <c r="R15" s="61" t="s">
        <v>28</v>
      </c>
      <c r="S15" s="61" t="s">
        <v>29</v>
      </c>
      <c r="T15" s="61" t="s">
        <v>30</v>
      </c>
      <c r="U15" s="61" t="s">
        <v>31</v>
      </c>
      <c r="V15" s="61" t="s">
        <v>32</v>
      </c>
      <c r="W15" s="61" t="s">
        <v>33</v>
      </c>
      <c r="X15" s="61" t="s">
        <v>34</v>
      </c>
      <c r="Y15" s="61" t="s">
        <v>35</v>
      </c>
      <c r="Z15" s="61" t="s">
        <v>36</v>
      </c>
      <c r="AA15" s="62" t="s">
        <v>37</v>
      </c>
      <c r="AB15" s="63"/>
      <c r="AC15" s="63"/>
      <c r="AD15" s="63"/>
    </row>
    <row r="16" ht="4.5" customHeight="1">
      <c r="A16" s="64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4"/>
      <c r="AB16" s="2"/>
      <c r="AC16" s="2"/>
      <c r="AD16" s="2"/>
    </row>
    <row r="17" ht="21.75" customHeight="1">
      <c r="A17" s="131" t="s">
        <v>57</v>
      </c>
      <c r="B17" s="132" t="s">
        <v>58</v>
      </c>
      <c r="C17" s="133" t="s">
        <v>5</v>
      </c>
      <c r="D17" s="134">
        <f>G17*D14</f>
        <v>1125</v>
      </c>
      <c r="E17" s="135">
        <f>G17*E14</f>
        <v>1625</v>
      </c>
      <c r="F17" s="135">
        <f>G17*F14</f>
        <v>2125</v>
      </c>
      <c r="G17" s="136">
        <f>N7+Y7</f>
        <v>2500</v>
      </c>
      <c r="H17" s="135">
        <f t="shared" ref="H17:H46" si="1">G17+(G17*0.25)</f>
        <v>3125</v>
      </c>
      <c r="I17" s="135">
        <f t="shared" ref="I17:I46" si="2">G17+(G17*0.5)</f>
        <v>3750</v>
      </c>
      <c r="J17" s="135">
        <f t="shared" ref="J17:J46" si="3">G17+(G17*0.75)</f>
        <v>4375</v>
      </c>
      <c r="K17" s="136">
        <f t="shared" ref="K17:K22" si="4">G17*2</f>
        <v>5000</v>
      </c>
      <c r="L17" s="135">
        <f t="shared" ref="L17:L46" si="5">K17+(G17*0.25)</f>
        <v>5625</v>
      </c>
      <c r="M17" s="135">
        <f t="shared" ref="M17:M46" si="6">K17+(G17*0.5)</f>
        <v>6250</v>
      </c>
      <c r="N17" s="135">
        <f t="shared" ref="N17:N46" si="7">K17+(G17*0.75)</f>
        <v>6875</v>
      </c>
      <c r="O17" s="136">
        <f t="shared" ref="O17:O22" si="8">G17*3</f>
        <v>7500</v>
      </c>
      <c r="P17" s="135">
        <f t="shared" ref="P17:P46" si="9">O17+(G17*0.25)</f>
        <v>8125</v>
      </c>
      <c r="Q17" s="135">
        <f t="shared" ref="Q17:Q46" si="10">O17+(G17*0.5)</f>
        <v>8750</v>
      </c>
      <c r="R17" s="135">
        <f t="shared" ref="R17:R46" si="11">O17+(G17*0.75)</f>
        <v>9375</v>
      </c>
      <c r="S17" s="136">
        <f t="shared" ref="S17:S22" si="12">G17*4</f>
        <v>10000</v>
      </c>
      <c r="T17" s="135">
        <f t="shared" ref="T17:T46" si="13">S17+(G17*0.25)</f>
        <v>10625</v>
      </c>
      <c r="U17" s="135">
        <f t="shared" ref="U17:U46" si="14">S17+(G17*0.5)</f>
        <v>11250</v>
      </c>
      <c r="V17" s="135">
        <f t="shared" ref="V17:V46" si="15">S17+(G17*0.75)</f>
        <v>11875</v>
      </c>
      <c r="W17" s="136">
        <f t="shared" ref="W17:W22" si="16">G17*5</f>
        <v>12500</v>
      </c>
      <c r="X17" s="135">
        <f t="shared" ref="X17:X46" si="17">W17+(G17*0.25)</f>
        <v>13125</v>
      </c>
      <c r="Y17" s="135">
        <f t="shared" ref="Y17:Y46" si="18">W17+(G17*0.5)</f>
        <v>13750</v>
      </c>
      <c r="Z17" s="135">
        <f t="shared" ref="Z17:Z46" si="19">W17+(G17*0.75)</f>
        <v>14375</v>
      </c>
      <c r="AA17" s="137">
        <f t="shared" ref="AA17:AA22" si="20">G17*6</f>
        <v>15000</v>
      </c>
      <c r="AB17" s="23"/>
      <c r="AC17" s="23"/>
      <c r="AD17" s="2"/>
    </row>
    <row r="18" ht="21.75" customHeight="1">
      <c r="A18" s="114"/>
      <c r="B18" s="75"/>
      <c r="C18" s="138" t="s">
        <v>40</v>
      </c>
      <c r="D18" s="139">
        <f>G18*D14</f>
        <v>931.5</v>
      </c>
      <c r="E18" s="139">
        <f>G18*E14</f>
        <v>1345.5</v>
      </c>
      <c r="F18" s="139">
        <f>G18*F14</f>
        <v>1759.5</v>
      </c>
      <c r="G18" s="140">
        <f>N7+Y8</f>
        <v>2070</v>
      </c>
      <c r="H18" s="139">
        <f t="shared" si="1"/>
        <v>2587.5</v>
      </c>
      <c r="I18" s="139">
        <f t="shared" si="2"/>
        <v>3105</v>
      </c>
      <c r="J18" s="139">
        <f t="shared" si="3"/>
        <v>3622.5</v>
      </c>
      <c r="K18" s="140">
        <f t="shared" si="4"/>
        <v>4140</v>
      </c>
      <c r="L18" s="139">
        <f t="shared" si="5"/>
        <v>4657.5</v>
      </c>
      <c r="M18" s="139">
        <f t="shared" si="6"/>
        <v>5175</v>
      </c>
      <c r="N18" s="139">
        <f t="shared" si="7"/>
        <v>5692.5</v>
      </c>
      <c r="O18" s="140">
        <f t="shared" si="8"/>
        <v>6210</v>
      </c>
      <c r="P18" s="139">
        <f t="shared" si="9"/>
        <v>6727.5</v>
      </c>
      <c r="Q18" s="139">
        <f t="shared" si="10"/>
        <v>7245</v>
      </c>
      <c r="R18" s="139">
        <f t="shared" si="11"/>
        <v>7762.5</v>
      </c>
      <c r="S18" s="140">
        <f t="shared" si="12"/>
        <v>8280</v>
      </c>
      <c r="T18" s="139">
        <f t="shared" si="13"/>
        <v>8797.5</v>
      </c>
      <c r="U18" s="139">
        <f t="shared" si="14"/>
        <v>9315</v>
      </c>
      <c r="V18" s="139">
        <f t="shared" si="15"/>
        <v>9832.5</v>
      </c>
      <c r="W18" s="140">
        <f t="shared" si="16"/>
        <v>10350</v>
      </c>
      <c r="X18" s="139">
        <f t="shared" si="17"/>
        <v>10867.5</v>
      </c>
      <c r="Y18" s="139">
        <f t="shared" si="18"/>
        <v>11385</v>
      </c>
      <c r="Z18" s="139">
        <f t="shared" si="19"/>
        <v>11902.5</v>
      </c>
      <c r="AA18" s="139">
        <f t="shared" si="20"/>
        <v>12420</v>
      </c>
      <c r="AB18" s="23"/>
      <c r="AC18" s="23"/>
      <c r="AD18" s="2"/>
    </row>
    <row r="19" ht="21.75" customHeight="1">
      <c r="A19" s="114"/>
      <c r="B19" s="75"/>
      <c r="C19" s="141" t="s">
        <v>7</v>
      </c>
      <c r="D19" s="142">
        <f>G19*D14</f>
        <v>859.5</v>
      </c>
      <c r="E19" s="142">
        <f>G19*E14</f>
        <v>1241.5</v>
      </c>
      <c r="F19" s="142">
        <f>G19*F14</f>
        <v>1623.5</v>
      </c>
      <c r="G19" s="143">
        <f>N7+Y9</f>
        <v>1910</v>
      </c>
      <c r="H19" s="142">
        <f t="shared" si="1"/>
        <v>2387.5</v>
      </c>
      <c r="I19" s="142">
        <f t="shared" si="2"/>
        <v>2865</v>
      </c>
      <c r="J19" s="142">
        <f t="shared" si="3"/>
        <v>3342.5</v>
      </c>
      <c r="K19" s="143">
        <f t="shared" si="4"/>
        <v>3820</v>
      </c>
      <c r="L19" s="142">
        <f t="shared" si="5"/>
        <v>4297.5</v>
      </c>
      <c r="M19" s="142">
        <f t="shared" si="6"/>
        <v>4775</v>
      </c>
      <c r="N19" s="142">
        <f t="shared" si="7"/>
        <v>5252.5</v>
      </c>
      <c r="O19" s="143">
        <f t="shared" si="8"/>
        <v>5730</v>
      </c>
      <c r="P19" s="142">
        <f t="shared" si="9"/>
        <v>6207.5</v>
      </c>
      <c r="Q19" s="142">
        <f t="shared" si="10"/>
        <v>6685</v>
      </c>
      <c r="R19" s="142">
        <f t="shared" si="11"/>
        <v>7162.5</v>
      </c>
      <c r="S19" s="143">
        <f t="shared" si="12"/>
        <v>7640</v>
      </c>
      <c r="T19" s="142">
        <f t="shared" si="13"/>
        <v>8117.5</v>
      </c>
      <c r="U19" s="142">
        <f t="shared" si="14"/>
        <v>8595</v>
      </c>
      <c r="V19" s="142">
        <f t="shared" si="15"/>
        <v>9072.5</v>
      </c>
      <c r="W19" s="143">
        <f t="shared" si="16"/>
        <v>9550</v>
      </c>
      <c r="X19" s="142">
        <f t="shared" si="17"/>
        <v>10027.5</v>
      </c>
      <c r="Y19" s="142">
        <f t="shared" si="18"/>
        <v>10505</v>
      </c>
      <c r="Z19" s="142">
        <f t="shared" si="19"/>
        <v>10982.5</v>
      </c>
      <c r="AA19" s="144">
        <f t="shared" si="20"/>
        <v>11460</v>
      </c>
      <c r="AB19" s="23"/>
      <c r="AC19" s="23"/>
      <c r="AD19" s="2"/>
    </row>
    <row r="20" ht="21.75" customHeight="1">
      <c r="A20" s="114"/>
      <c r="B20" s="75"/>
      <c r="C20" s="107" t="s">
        <v>9</v>
      </c>
      <c r="D20" s="135">
        <f>G20*D14</f>
        <v>1255.5</v>
      </c>
      <c r="E20" s="135">
        <f>G20*E14</f>
        <v>1813.5</v>
      </c>
      <c r="F20" s="135">
        <f>G20*F14</f>
        <v>2371.5</v>
      </c>
      <c r="G20" s="136">
        <f>N7+Y10</f>
        <v>2790</v>
      </c>
      <c r="H20" s="135">
        <f t="shared" si="1"/>
        <v>3487.5</v>
      </c>
      <c r="I20" s="135">
        <f t="shared" si="2"/>
        <v>4185</v>
      </c>
      <c r="J20" s="135">
        <f t="shared" si="3"/>
        <v>4882.5</v>
      </c>
      <c r="K20" s="136">
        <f t="shared" si="4"/>
        <v>5580</v>
      </c>
      <c r="L20" s="135">
        <f t="shared" si="5"/>
        <v>6277.5</v>
      </c>
      <c r="M20" s="135">
        <f t="shared" si="6"/>
        <v>6975</v>
      </c>
      <c r="N20" s="135">
        <f t="shared" si="7"/>
        <v>7672.5</v>
      </c>
      <c r="O20" s="136">
        <f t="shared" si="8"/>
        <v>8370</v>
      </c>
      <c r="P20" s="135">
        <f t="shared" si="9"/>
        <v>9067.5</v>
      </c>
      <c r="Q20" s="135">
        <f t="shared" si="10"/>
        <v>9765</v>
      </c>
      <c r="R20" s="135">
        <f t="shared" si="11"/>
        <v>10462.5</v>
      </c>
      <c r="S20" s="136">
        <f t="shared" si="12"/>
        <v>11160</v>
      </c>
      <c r="T20" s="135">
        <f t="shared" si="13"/>
        <v>11857.5</v>
      </c>
      <c r="U20" s="135">
        <f t="shared" si="14"/>
        <v>12555</v>
      </c>
      <c r="V20" s="135">
        <f t="shared" si="15"/>
        <v>13252.5</v>
      </c>
      <c r="W20" s="136">
        <f t="shared" si="16"/>
        <v>13950</v>
      </c>
      <c r="X20" s="135">
        <f t="shared" si="17"/>
        <v>14647.5</v>
      </c>
      <c r="Y20" s="135">
        <f t="shared" si="18"/>
        <v>15345</v>
      </c>
      <c r="Z20" s="135">
        <f t="shared" si="19"/>
        <v>16042.5</v>
      </c>
      <c r="AA20" s="137">
        <f t="shared" si="20"/>
        <v>16740</v>
      </c>
      <c r="AB20" s="23"/>
      <c r="AC20" s="23"/>
      <c r="AD20" s="2"/>
    </row>
    <row r="21" ht="21.75" customHeight="1">
      <c r="A21" s="114"/>
      <c r="B21" s="75"/>
      <c r="C21" s="115" t="s">
        <v>41</v>
      </c>
      <c r="D21" s="139">
        <f>G21*D14</f>
        <v>990</v>
      </c>
      <c r="E21" s="139">
        <f>G21*E14</f>
        <v>1430</v>
      </c>
      <c r="F21" s="139">
        <f>G21*F14</f>
        <v>1870</v>
      </c>
      <c r="G21" s="140">
        <f>N7+Y11</f>
        <v>2200</v>
      </c>
      <c r="H21" s="139">
        <f t="shared" si="1"/>
        <v>2750</v>
      </c>
      <c r="I21" s="139">
        <f t="shared" si="2"/>
        <v>3300</v>
      </c>
      <c r="J21" s="139">
        <f t="shared" si="3"/>
        <v>3850</v>
      </c>
      <c r="K21" s="140">
        <f t="shared" si="4"/>
        <v>4400</v>
      </c>
      <c r="L21" s="139">
        <f t="shared" si="5"/>
        <v>4950</v>
      </c>
      <c r="M21" s="139">
        <f t="shared" si="6"/>
        <v>5500</v>
      </c>
      <c r="N21" s="139">
        <f t="shared" si="7"/>
        <v>6050</v>
      </c>
      <c r="O21" s="140">
        <f t="shared" si="8"/>
        <v>6600</v>
      </c>
      <c r="P21" s="139">
        <f t="shared" si="9"/>
        <v>7150</v>
      </c>
      <c r="Q21" s="139">
        <f t="shared" si="10"/>
        <v>7700</v>
      </c>
      <c r="R21" s="139">
        <f t="shared" si="11"/>
        <v>8250</v>
      </c>
      <c r="S21" s="140">
        <f t="shared" si="12"/>
        <v>8800</v>
      </c>
      <c r="T21" s="139">
        <f t="shared" si="13"/>
        <v>9350</v>
      </c>
      <c r="U21" s="139">
        <f t="shared" si="14"/>
        <v>9900</v>
      </c>
      <c r="V21" s="139">
        <f t="shared" si="15"/>
        <v>10450</v>
      </c>
      <c r="W21" s="140">
        <f t="shared" si="16"/>
        <v>11000</v>
      </c>
      <c r="X21" s="139">
        <f t="shared" si="17"/>
        <v>11550</v>
      </c>
      <c r="Y21" s="139">
        <f t="shared" si="18"/>
        <v>12100</v>
      </c>
      <c r="Z21" s="139">
        <f t="shared" si="19"/>
        <v>12650</v>
      </c>
      <c r="AA21" s="139">
        <f t="shared" si="20"/>
        <v>13200</v>
      </c>
      <c r="AB21" s="23"/>
      <c r="AC21" s="23"/>
      <c r="AD21" s="2"/>
    </row>
    <row r="22" ht="21.75" customHeight="1">
      <c r="A22" s="114"/>
      <c r="B22" s="84"/>
      <c r="C22" s="145" t="s">
        <v>11</v>
      </c>
      <c r="D22" s="142">
        <f>G22*D14</f>
        <v>895.5</v>
      </c>
      <c r="E22" s="142">
        <f>G22*E14</f>
        <v>1293.5</v>
      </c>
      <c r="F22" s="142">
        <f>G22*F14</f>
        <v>1691.5</v>
      </c>
      <c r="G22" s="143">
        <f>N7+Y12</f>
        <v>1990</v>
      </c>
      <c r="H22" s="142">
        <f t="shared" si="1"/>
        <v>2487.5</v>
      </c>
      <c r="I22" s="142">
        <f t="shared" si="2"/>
        <v>2985</v>
      </c>
      <c r="J22" s="142">
        <f t="shared" si="3"/>
        <v>3482.5</v>
      </c>
      <c r="K22" s="143">
        <f t="shared" si="4"/>
        <v>3980</v>
      </c>
      <c r="L22" s="142">
        <f t="shared" si="5"/>
        <v>4477.5</v>
      </c>
      <c r="M22" s="142">
        <f t="shared" si="6"/>
        <v>4975</v>
      </c>
      <c r="N22" s="142">
        <f t="shared" si="7"/>
        <v>5472.5</v>
      </c>
      <c r="O22" s="143">
        <f t="shared" si="8"/>
        <v>5970</v>
      </c>
      <c r="P22" s="142">
        <f t="shared" si="9"/>
        <v>6467.5</v>
      </c>
      <c r="Q22" s="142">
        <f t="shared" si="10"/>
        <v>6965</v>
      </c>
      <c r="R22" s="142">
        <f t="shared" si="11"/>
        <v>7462.5</v>
      </c>
      <c r="S22" s="143">
        <f t="shared" si="12"/>
        <v>7960</v>
      </c>
      <c r="T22" s="142">
        <f t="shared" si="13"/>
        <v>8457.5</v>
      </c>
      <c r="U22" s="142">
        <f t="shared" si="14"/>
        <v>8955</v>
      </c>
      <c r="V22" s="142">
        <f t="shared" si="15"/>
        <v>9452.5</v>
      </c>
      <c r="W22" s="143">
        <f t="shared" si="16"/>
        <v>9950</v>
      </c>
      <c r="X22" s="142">
        <f t="shared" si="17"/>
        <v>10447.5</v>
      </c>
      <c r="Y22" s="142">
        <f t="shared" si="18"/>
        <v>10945</v>
      </c>
      <c r="Z22" s="142">
        <f t="shared" si="19"/>
        <v>11442.5</v>
      </c>
      <c r="AA22" s="142">
        <f t="shared" si="20"/>
        <v>11940</v>
      </c>
      <c r="AB22" s="23"/>
      <c r="AC22" s="23"/>
      <c r="AD22" s="2"/>
    </row>
    <row r="23" ht="21.75" customHeight="1">
      <c r="A23" s="114"/>
      <c r="B23" s="146" t="s">
        <v>59</v>
      </c>
      <c r="C23" s="133" t="s">
        <v>5</v>
      </c>
      <c r="D23" s="135">
        <f>G23*D14</f>
        <v>1197</v>
      </c>
      <c r="E23" s="135">
        <f>G23*E14</f>
        <v>1729</v>
      </c>
      <c r="F23" s="135">
        <f>G23*F14</f>
        <v>2261</v>
      </c>
      <c r="G23" s="136">
        <f>N8+Y7</f>
        <v>2660</v>
      </c>
      <c r="H23" s="135">
        <f t="shared" si="1"/>
        <v>3325</v>
      </c>
      <c r="I23" s="135">
        <f t="shared" si="2"/>
        <v>3990</v>
      </c>
      <c r="J23" s="135">
        <f t="shared" si="3"/>
        <v>4655</v>
      </c>
      <c r="K23" s="136">
        <f t="shared" ref="K23:K28" si="21">G23*2</f>
        <v>5320</v>
      </c>
      <c r="L23" s="135">
        <f t="shared" si="5"/>
        <v>5985</v>
      </c>
      <c r="M23" s="135">
        <f t="shared" si="6"/>
        <v>6650</v>
      </c>
      <c r="N23" s="135">
        <f t="shared" si="7"/>
        <v>7315</v>
      </c>
      <c r="O23" s="136">
        <f t="shared" ref="O23:O28" si="22">G23*3</f>
        <v>7980</v>
      </c>
      <c r="P23" s="135">
        <f t="shared" si="9"/>
        <v>8645</v>
      </c>
      <c r="Q23" s="135">
        <f t="shared" si="10"/>
        <v>9310</v>
      </c>
      <c r="R23" s="135">
        <f t="shared" si="11"/>
        <v>9975</v>
      </c>
      <c r="S23" s="136">
        <f t="shared" ref="S23:S28" si="23">G23*4</f>
        <v>10640</v>
      </c>
      <c r="T23" s="135">
        <f t="shared" si="13"/>
        <v>11305</v>
      </c>
      <c r="U23" s="135">
        <f t="shared" si="14"/>
        <v>11970</v>
      </c>
      <c r="V23" s="135">
        <f t="shared" si="15"/>
        <v>12635</v>
      </c>
      <c r="W23" s="136">
        <f t="shared" ref="W23:W28" si="24">G23*5</f>
        <v>13300</v>
      </c>
      <c r="X23" s="135">
        <f t="shared" si="17"/>
        <v>13965</v>
      </c>
      <c r="Y23" s="135">
        <f t="shared" si="18"/>
        <v>14630</v>
      </c>
      <c r="Z23" s="135">
        <f t="shared" si="19"/>
        <v>15295</v>
      </c>
      <c r="AA23" s="147">
        <f t="shared" ref="AA23:AA28" si="25">G23*6</f>
        <v>15960</v>
      </c>
      <c r="AB23" s="23"/>
      <c r="AC23" s="23"/>
      <c r="AD23" s="2"/>
    </row>
    <row r="24" ht="21.75" customHeight="1">
      <c r="A24" s="114"/>
      <c r="B24" s="75"/>
      <c r="C24" s="138" t="s">
        <v>40</v>
      </c>
      <c r="D24" s="139">
        <f>G24*D14</f>
        <v>1003.5</v>
      </c>
      <c r="E24" s="139">
        <f>G24*E14</f>
        <v>1449.5</v>
      </c>
      <c r="F24" s="139">
        <f>G24*F14</f>
        <v>1895.5</v>
      </c>
      <c r="G24" s="140">
        <f>N8+Y8</f>
        <v>2230</v>
      </c>
      <c r="H24" s="139">
        <f t="shared" si="1"/>
        <v>2787.5</v>
      </c>
      <c r="I24" s="139">
        <f t="shared" si="2"/>
        <v>3345</v>
      </c>
      <c r="J24" s="139">
        <f t="shared" si="3"/>
        <v>3902.5</v>
      </c>
      <c r="K24" s="140">
        <f t="shared" si="21"/>
        <v>4460</v>
      </c>
      <c r="L24" s="139">
        <f t="shared" si="5"/>
        <v>5017.5</v>
      </c>
      <c r="M24" s="139">
        <f t="shared" si="6"/>
        <v>5575</v>
      </c>
      <c r="N24" s="139">
        <f t="shared" si="7"/>
        <v>6132.5</v>
      </c>
      <c r="O24" s="140">
        <f t="shared" si="22"/>
        <v>6690</v>
      </c>
      <c r="P24" s="139">
        <f t="shared" si="9"/>
        <v>7247.5</v>
      </c>
      <c r="Q24" s="139">
        <f t="shared" si="10"/>
        <v>7805</v>
      </c>
      <c r="R24" s="139">
        <f t="shared" si="11"/>
        <v>8362.5</v>
      </c>
      <c r="S24" s="140">
        <f t="shared" si="23"/>
        <v>8920</v>
      </c>
      <c r="T24" s="139">
        <f t="shared" si="13"/>
        <v>9477.5</v>
      </c>
      <c r="U24" s="139">
        <f t="shared" si="14"/>
        <v>10035</v>
      </c>
      <c r="V24" s="139">
        <f t="shared" si="15"/>
        <v>10592.5</v>
      </c>
      <c r="W24" s="140">
        <f t="shared" si="24"/>
        <v>11150</v>
      </c>
      <c r="X24" s="139">
        <f t="shared" si="17"/>
        <v>11707.5</v>
      </c>
      <c r="Y24" s="139">
        <f t="shared" si="18"/>
        <v>12265</v>
      </c>
      <c r="Z24" s="139">
        <f t="shared" si="19"/>
        <v>12822.5</v>
      </c>
      <c r="AA24" s="148">
        <f t="shared" si="25"/>
        <v>13380</v>
      </c>
      <c r="AB24" s="23"/>
      <c r="AC24" s="23"/>
      <c r="AD24" s="2"/>
    </row>
    <row r="25" ht="21.75" customHeight="1">
      <c r="A25" s="114"/>
      <c r="B25" s="75"/>
      <c r="C25" s="141" t="s">
        <v>7</v>
      </c>
      <c r="D25" s="142">
        <f>G25*D14</f>
        <v>931.5</v>
      </c>
      <c r="E25" s="142">
        <f>G25*E14</f>
        <v>1345.5</v>
      </c>
      <c r="F25" s="142">
        <f>G25*F14</f>
        <v>1759.5</v>
      </c>
      <c r="G25" s="143">
        <f>N8+Y9</f>
        <v>2070</v>
      </c>
      <c r="H25" s="142">
        <f t="shared" si="1"/>
        <v>2587.5</v>
      </c>
      <c r="I25" s="142">
        <f t="shared" si="2"/>
        <v>3105</v>
      </c>
      <c r="J25" s="142">
        <f t="shared" si="3"/>
        <v>3622.5</v>
      </c>
      <c r="K25" s="143">
        <f t="shared" si="21"/>
        <v>4140</v>
      </c>
      <c r="L25" s="142">
        <f t="shared" si="5"/>
        <v>4657.5</v>
      </c>
      <c r="M25" s="142">
        <f t="shared" si="6"/>
        <v>5175</v>
      </c>
      <c r="N25" s="142">
        <f t="shared" si="7"/>
        <v>5692.5</v>
      </c>
      <c r="O25" s="143">
        <f t="shared" si="22"/>
        <v>6210</v>
      </c>
      <c r="P25" s="142">
        <f t="shared" si="9"/>
        <v>6727.5</v>
      </c>
      <c r="Q25" s="142">
        <f t="shared" si="10"/>
        <v>7245</v>
      </c>
      <c r="R25" s="142">
        <f t="shared" si="11"/>
        <v>7762.5</v>
      </c>
      <c r="S25" s="143">
        <f t="shared" si="23"/>
        <v>8280</v>
      </c>
      <c r="T25" s="142">
        <f t="shared" si="13"/>
        <v>8797.5</v>
      </c>
      <c r="U25" s="142">
        <f t="shared" si="14"/>
        <v>9315</v>
      </c>
      <c r="V25" s="142">
        <f t="shared" si="15"/>
        <v>9832.5</v>
      </c>
      <c r="W25" s="143">
        <f t="shared" si="24"/>
        <v>10350</v>
      </c>
      <c r="X25" s="142">
        <f t="shared" si="17"/>
        <v>10867.5</v>
      </c>
      <c r="Y25" s="142">
        <f t="shared" si="18"/>
        <v>11385</v>
      </c>
      <c r="Z25" s="142">
        <f t="shared" si="19"/>
        <v>11902.5</v>
      </c>
      <c r="AA25" s="149">
        <f t="shared" si="25"/>
        <v>12420</v>
      </c>
      <c r="AB25" s="23"/>
      <c r="AC25" s="23"/>
      <c r="AD25" s="2"/>
    </row>
    <row r="26" ht="21.75" customHeight="1">
      <c r="A26" s="114"/>
      <c r="B26" s="75"/>
      <c r="C26" s="107" t="s">
        <v>9</v>
      </c>
      <c r="D26" s="135">
        <f>G26*D14</f>
        <v>1327.5</v>
      </c>
      <c r="E26" s="135">
        <f>G26*E14</f>
        <v>1917.5</v>
      </c>
      <c r="F26" s="135">
        <f>G26*F14</f>
        <v>2507.5</v>
      </c>
      <c r="G26" s="136">
        <f>N8+Y10</f>
        <v>2950</v>
      </c>
      <c r="H26" s="135">
        <f t="shared" si="1"/>
        <v>3687.5</v>
      </c>
      <c r="I26" s="135">
        <f t="shared" si="2"/>
        <v>4425</v>
      </c>
      <c r="J26" s="135">
        <f t="shared" si="3"/>
        <v>5162.5</v>
      </c>
      <c r="K26" s="136">
        <f t="shared" si="21"/>
        <v>5900</v>
      </c>
      <c r="L26" s="135">
        <f t="shared" si="5"/>
        <v>6637.5</v>
      </c>
      <c r="M26" s="135">
        <f t="shared" si="6"/>
        <v>7375</v>
      </c>
      <c r="N26" s="135">
        <f t="shared" si="7"/>
        <v>8112.5</v>
      </c>
      <c r="O26" s="136">
        <f t="shared" si="22"/>
        <v>8850</v>
      </c>
      <c r="P26" s="135">
        <f t="shared" si="9"/>
        <v>9587.5</v>
      </c>
      <c r="Q26" s="135">
        <f t="shared" si="10"/>
        <v>10325</v>
      </c>
      <c r="R26" s="135">
        <f t="shared" si="11"/>
        <v>11062.5</v>
      </c>
      <c r="S26" s="136">
        <f t="shared" si="23"/>
        <v>11800</v>
      </c>
      <c r="T26" s="135">
        <f t="shared" si="13"/>
        <v>12537.5</v>
      </c>
      <c r="U26" s="135">
        <f t="shared" si="14"/>
        <v>13275</v>
      </c>
      <c r="V26" s="135">
        <f t="shared" si="15"/>
        <v>14012.5</v>
      </c>
      <c r="W26" s="136">
        <f t="shared" si="24"/>
        <v>14750</v>
      </c>
      <c r="X26" s="135">
        <f t="shared" si="17"/>
        <v>15487.5</v>
      </c>
      <c r="Y26" s="135">
        <f t="shared" si="18"/>
        <v>16225</v>
      </c>
      <c r="Z26" s="135">
        <f t="shared" si="19"/>
        <v>16962.5</v>
      </c>
      <c r="AA26" s="147">
        <f t="shared" si="25"/>
        <v>17700</v>
      </c>
      <c r="AB26" s="23"/>
      <c r="AC26" s="23"/>
      <c r="AD26" s="2"/>
    </row>
    <row r="27" ht="21.75" customHeight="1">
      <c r="A27" s="114"/>
      <c r="B27" s="75"/>
      <c r="C27" s="115" t="s">
        <v>41</v>
      </c>
      <c r="D27" s="139">
        <f>G27*D14</f>
        <v>1062</v>
      </c>
      <c r="E27" s="139">
        <f>G27*E14</f>
        <v>1534</v>
      </c>
      <c r="F27" s="139">
        <f>G27*F14</f>
        <v>2006</v>
      </c>
      <c r="G27" s="140">
        <f>N8+Y11</f>
        <v>2360</v>
      </c>
      <c r="H27" s="139">
        <f t="shared" si="1"/>
        <v>2950</v>
      </c>
      <c r="I27" s="139">
        <f t="shared" si="2"/>
        <v>3540</v>
      </c>
      <c r="J27" s="139">
        <f t="shared" si="3"/>
        <v>4130</v>
      </c>
      <c r="K27" s="140">
        <f t="shared" si="21"/>
        <v>4720</v>
      </c>
      <c r="L27" s="139">
        <f t="shared" si="5"/>
        <v>5310</v>
      </c>
      <c r="M27" s="139">
        <f t="shared" si="6"/>
        <v>5900</v>
      </c>
      <c r="N27" s="139">
        <f t="shared" si="7"/>
        <v>6490</v>
      </c>
      <c r="O27" s="140">
        <f t="shared" si="22"/>
        <v>7080</v>
      </c>
      <c r="P27" s="139">
        <f t="shared" si="9"/>
        <v>7670</v>
      </c>
      <c r="Q27" s="139">
        <f t="shared" si="10"/>
        <v>8260</v>
      </c>
      <c r="R27" s="139">
        <f t="shared" si="11"/>
        <v>8850</v>
      </c>
      <c r="S27" s="140">
        <f t="shared" si="23"/>
        <v>9440</v>
      </c>
      <c r="T27" s="139">
        <f t="shared" si="13"/>
        <v>10030</v>
      </c>
      <c r="U27" s="139">
        <f t="shared" si="14"/>
        <v>10620</v>
      </c>
      <c r="V27" s="139">
        <f t="shared" si="15"/>
        <v>11210</v>
      </c>
      <c r="W27" s="140">
        <f t="shared" si="24"/>
        <v>11800</v>
      </c>
      <c r="X27" s="139">
        <f t="shared" si="17"/>
        <v>12390</v>
      </c>
      <c r="Y27" s="139">
        <f t="shared" si="18"/>
        <v>12980</v>
      </c>
      <c r="Z27" s="139">
        <f t="shared" si="19"/>
        <v>13570</v>
      </c>
      <c r="AA27" s="148">
        <f t="shared" si="25"/>
        <v>14160</v>
      </c>
      <c r="AB27" s="23"/>
      <c r="AC27" s="23"/>
      <c r="AD27" s="2"/>
    </row>
    <row r="28" ht="21.75" customHeight="1">
      <c r="A28" s="114"/>
      <c r="B28" s="84"/>
      <c r="C28" s="145" t="s">
        <v>11</v>
      </c>
      <c r="D28" s="142">
        <f>G28*D14</f>
        <v>967.5</v>
      </c>
      <c r="E28" s="142">
        <f>G28*E14</f>
        <v>1397.5</v>
      </c>
      <c r="F28" s="142">
        <f>G28*F14</f>
        <v>1827.5</v>
      </c>
      <c r="G28" s="143">
        <f>N8+Y12</f>
        <v>2150</v>
      </c>
      <c r="H28" s="142">
        <f t="shared" si="1"/>
        <v>2687.5</v>
      </c>
      <c r="I28" s="142">
        <f t="shared" si="2"/>
        <v>3225</v>
      </c>
      <c r="J28" s="142">
        <f t="shared" si="3"/>
        <v>3762.5</v>
      </c>
      <c r="K28" s="143">
        <f t="shared" si="21"/>
        <v>4300</v>
      </c>
      <c r="L28" s="142">
        <f t="shared" si="5"/>
        <v>4837.5</v>
      </c>
      <c r="M28" s="142">
        <f t="shared" si="6"/>
        <v>5375</v>
      </c>
      <c r="N28" s="142">
        <f t="shared" si="7"/>
        <v>5912.5</v>
      </c>
      <c r="O28" s="143">
        <f t="shared" si="22"/>
        <v>6450</v>
      </c>
      <c r="P28" s="142">
        <f t="shared" si="9"/>
        <v>6987.5</v>
      </c>
      <c r="Q28" s="142">
        <f t="shared" si="10"/>
        <v>7525</v>
      </c>
      <c r="R28" s="142">
        <f t="shared" si="11"/>
        <v>8062.5</v>
      </c>
      <c r="S28" s="143">
        <f t="shared" si="23"/>
        <v>8600</v>
      </c>
      <c r="T28" s="142">
        <f t="shared" si="13"/>
        <v>9137.5</v>
      </c>
      <c r="U28" s="142">
        <f t="shared" si="14"/>
        <v>9675</v>
      </c>
      <c r="V28" s="142">
        <f t="shared" si="15"/>
        <v>10212.5</v>
      </c>
      <c r="W28" s="143">
        <f t="shared" si="24"/>
        <v>10750</v>
      </c>
      <c r="X28" s="142">
        <f t="shared" si="17"/>
        <v>11287.5</v>
      </c>
      <c r="Y28" s="142">
        <f t="shared" si="18"/>
        <v>11825</v>
      </c>
      <c r="Z28" s="142">
        <f t="shared" si="19"/>
        <v>12362.5</v>
      </c>
      <c r="AA28" s="149">
        <f t="shared" si="25"/>
        <v>12900</v>
      </c>
      <c r="AB28" s="23"/>
      <c r="AC28" s="23"/>
      <c r="AD28" s="2"/>
    </row>
    <row r="29" ht="21.75" customHeight="1">
      <c r="A29" s="150" t="s">
        <v>53</v>
      </c>
      <c r="B29" s="151" t="s">
        <v>60</v>
      </c>
      <c r="C29" s="152" t="s">
        <v>5</v>
      </c>
      <c r="D29" s="153">
        <f>G29*D14</f>
        <v>1206</v>
      </c>
      <c r="E29" s="154">
        <f>G29*E14</f>
        <v>1742</v>
      </c>
      <c r="F29" s="154">
        <f>G29*F14</f>
        <v>2278</v>
      </c>
      <c r="G29" s="155">
        <f>N10+Y7</f>
        <v>2680</v>
      </c>
      <c r="H29" s="154">
        <f t="shared" si="1"/>
        <v>3350</v>
      </c>
      <c r="I29" s="154">
        <f t="shared" si="2"/>
        <v>4020</v>
      </c>
      <c r="J29" s="154">
        <f t="shared" si="3"/>
        <v>4690</v>
      </c>
      <c r="K29" s="155">
        <f t="shared" ref="K29:K46" si="26">G29*2</f>
        <v>5360</v>
      </c>
      <c r="L29" s="154">
        <f t="shared" si="5"/>
        <v>6030</v>
      </c>
      <c r="M29" s="154">
        <f t="shared" si="6"/>
        <v>6700</v>
      </c>
      <c r="N29" s="154">
        <f t="shared" si="7"/>
        <v>7370</v>
      </c>
      <c r="O29" s="155">
        <f t="shared" ref="O29:O46" si="27">G29*3</f>
        <v>8040</v>
      </c>
      <c r="P29" s="154">
        <f t="shared" si="9"/>
        <v>8710</v>
      </c>
      <c r="Q29" s="154">
        <f t="shared" si="10"/>
        <v>9380</v>
      </c>
      <c r="R29" s="154">
        <f t="shared" si="11"/>
        <v>10050</v>
      </c>
      <c r="S29" s="155">
        <f t="shared" ref="S29:S46" si="28">G29*4</f>
        <v>10720</v>
      </c>
      <c r="T29" s="154">
        <f t="shared" si="13"/>
        <v>11390</v>
      </c>
      <c r="U29" s="154">
        <f t="shared" si="14"/>
        <v>12060</v>
      </c>
      <c r="V29" s="154">
        <f t="shared" si="15"/>
        <v>12730</v>
      </c>
      <c r="W29" s="155">
        <f t="shared" ref="W29:W46" si="29">G29*5</f>
        <v>13400</v>
      </c>
      <c r="X29" s="154">
        <f t="shared" si="17"/>
        <v>14070</v>
      </c>
      <c r="Y29" s="154">
        <f t="shared" si="18"/>
        <v>14740</v>
      </c>
      <c r="Z29" s="154">
        <f t="shared" si="19"/>
        <v>15410</v>
      </c>
      <c r="AA29" s="156">
        <f t="shared" ref="AA29:AA46" si="30">G29*6</f>
        <v>16080</v>
      </c>
      <c r="AB29" s="23"/>
      <c r="AC29" s="23"/>
      <c r="AD29" s="2"/>
    </row>
    <row r="30" ht="21.75" customHeight="1">
      <c r="A30" s="114"/>
      <c r="B30" s="75"/>
      <c r="C30" s="157" t="s">
        <v>40</v>
      </c>
      <c r="D30" s="158">
        <f>G30*D14</f>
        <v>1012.5</v>
      </c>
      <c r="E30" s="158">
        <f>G30*E14</f>
        <v>1462.5</v>
      </c>
      <c r="F30" s="158">
        <f>G30*F14</f>
        <v>1912.5</v>
      </c>
      <c r="G30" s="159">
        <f>Y8+N10</f>
        <v>2250</v>
      </c>
      <c r="H30" s="158">
        <f t="shared" si="1"/>
        <v>2812.5</v>
      </c>
      <c r="I30" s="158">
        <f t="shared" si="2"/>
        <v>3375</v>
      </c>
      <c r="J30" s="158">
        <f t="shared" si="3"/>
        <v>3937.5</v>
      </c>
      <c r="K30" s="159">
        <f t="shared" si="26"/>
        <v>4500</v>
      </c>
      <c r="L30" s="158">
        <f t="shared" si="5"/>
        <v>5062.5</v>
      </c>
      <c r="M30" s="158">
        <f t="shared" si="6"/>
        <v>5625</v>
      </c>
      <c r="N30" s="158">
        <f t="shared" si="7"/>
        <v>6187.5</v>
      </c>
      <c r="O30" s="159">
        <f t="shared" si="27"/>
        <v>6750</v>
      </c>
      <c r="P30" s="158">
        <f t="shared" si="9"/>
        <v>7312.5</v>
      </c>
      <c r="Q30" s="158">
        <f t="shared" si="10"/>
        <v>7875</v>
      </c>
      <c r="R30" s="158">
        <f t="shared" si="11"/>
        <v>8437.5</v>
      </c>
      <c r="S30" s="159">
        <f t="shared" si="28"/>
        <v>9000</v>
      </c>
      <c r="T30" s="158">
        <f t="shared" si="13"/>
        <v>9562.5</v>
      </c>
      <c r="U30" s="158">
        <f t="shared" si="14"/>
        <v>10125</v>
      </c>
      <c r="V30" s="158">
        <f t="shared" si="15"/>
        <v>10687.5</v>
      </c>
      <c r="W30" s="159">
        <f t="shared" si="29"/>
        <v>11250</v>
      </c>
      <c r="X30" s="158">
        <f t="shared" si="17"/>
        <v>11812.5</v>
      </c>
      <c r="Y30" s="158">
        <f t="shared" si="18"/>
        <v>12375</v>
      </c>
      <c r="Z30" s="158">
        <f t="shared" si="19"/>
        <v>12937.5</v>
      </c>
      <c r="AA30" s="159">
        <f t="shared" si="30"/>
        <v>13500</v>
      </c>
      <c r="AB30" s="23"/>
      <c r="AC30" s="23"/>
      <c r="AD30" s="2"/>
    </row>
    <row r="31" ht="21.75" customHeight="1">
      <c r="A31" s="114"/>
      <c r="B31" s="75"/>
      <c r="C31" s="160" t="s">
        <v>7</v>
      </c>
      <c r="D31" s="161">
        <f>G31*D14</f>
        <v>940.5</v>
      </c>
      <c r="E31" s="161">
        <f>G31*E14</f>
        <v>1358.5</v>
      </c>
      <c r="F31" s="161">
        <f>G31*F14</f>
        <v>1776.5</v>
      </c>
      <c r="G31" s="162">
        <f>Y9+N10</f>
        <v>2090</v>
      </c>
      <c r="H31" s="161">
        <f t="shared" si="1"/>
        <v>2612.5</v>
      </c>
      <c r="I31" s="161">
        <f t="shared" si="2"/>
        <v>3135</v>
      </c>
      <c r="J31" s="161">
        <f t="shared" si="3"/>
        <v>3657.5</v>
      </c>
      <c r="K31" s="162">
        <f t="shared" si="26"/>
        <v>4180</v>
      </c>
      <c r="L31" s="161">
        <f t="shared" si="5"/>
        <v>4702.5</v>
      </c>
      <c r="M31" s="161">
        <f t="shared" si="6"/>
        <v>5225</v>
      </c>
      <c r="N31" s="161">
        <f t="shared" si="7"/>
        <v>5747.5</v>
      </c>
      <c r="O31" s="162">
        <f t="shared" si="27"/>
        <v>6270</v>
      </c>
      <c r="P31" s="161">
        <f t="shared" si="9"/>
        <v>6792.5</v>
      </c>
      <c r="Q31" s="161">
        <f t="shared" si="10"/>
        <v>7315</v>
      </c>
      <c r="R31" s="161">
        <f t="shared" si="11"/>
        <v>7837.5</v>
      </c>
      <c r="S31" s="162">
        <f t="shared" si="28"/>
        <v>8360</v>
      </c>
      <c r="T31" s="161">
        <f t="shared" si="13"/>
        <v>8882.5</v>
      </c>
      <c r="U31" s="161">
        <f t="shared" si="14"/>
        <v>9405</v>
      </c>
      <c r="V31" s="161">
        <f t="shared" si="15"/>
        <v>9927.5</v>
      </c>
      <c r="W31" s="162">
        <f t="shared" si="29"/>
        <v>10450</v>
      </c>
      <c r="X31" s="161">
        <f t="shared" si="17"/>
        <v>10972.5</v>
      </c>
      <c r="Y31" s="161">
        <f t="shared" si="18"/>
        <v>11495</v>
      </c>
      <c r="Z31" s="161">
        <f t="shared" si="19"/>
        <v>12017.5</v>
      </c>
      <c r="AA31" s="163">
        <f t="shared" si="30"/>
        <v>12540</v>
      </c>
      <c r="AB31" s="23"/>
      <c r="AC31" s="23"/>
      <c r="AD31" s="2"/>
    </row>
    <row r="32" ht="21.75" customHeight="1">
      <c r="A32" s="114"/>
      <c r="B32" s="75"/>
      <c r="C32" s="164" t="s">
        <v>9</v>
      </c>
      <c r="D32" s="154">
        <f>G32*D14</f>
        <v>1336.5</v>
      </c>
      <c r="E32" s="154">
        <f>G32*E14</f>
        <v>1930.5</v>
      </c>
      <c r="F32" s="154">
        <f>G32*F14</f>
        <v>2524.5</v>
      </c>
      <c r="G32" s="155">
        <f>Y10+N10</f>
        <v>2970</v>
      </c>
      <c r="H32" s="154">
        <f t="shared" si="1"/>
        <v>3712.5</v>
      </c>
      <c r="I32" s="154">
        <f t="shared" si="2"/>
        <v>4455</v>
      </c>
      <c r="J32" s="154">
        <f t="shared" si="3"/>
        <v>5197.5</v>
      </c>
      <c r="K32" s="155">
        <f t="shared" si="26"/>
        <v>5940</v>
      </c>
      <c r="L32" s="154">
        <f t="shared" si="5"/>
        <v>6682.5</v>
      </c>
      <c r="M32" s="154">
        <f t="shared" si="6"/>
        <v>7425</v>
      </c>
      <c r="N32" s="154">
        <f t="shared" si="7"/>
        <v>8167.5</v>
      </c>
      <c r="O32" s="155">
        <f t="shared" si="27"/>
        <v>8910</v>
      </c>
      <c r="P32" s="154">
        <f t="shared" si="9"/>
        <v>9652.5</v>
      </c>
      <c r="Q32" s="154">
        <f t="shared" si="10"/>
        <v>10395</v>
      </c>
      <c r="R32" s="154">
        <f t="shared" si="11"/>
        <v>11137.5</v>
      </c>
      <c r="S32" s="155">
        <f t="shared" si="28"/>
        <v>11880</v>
      </c>
      <c r="T32" s="154">
        <f t="shared" si="13"/>
        <v>12622.5</v>
      </c>
      <c r="U32" s="154">
        <f t="shared" si="14"/>
        <v>13365</v>
      </c>
      <c r="V32" s="154">
        <f t="shared" si="15"/>
        <v>14107.5</v>
      </c>
      <c r="W32" s="155">
        <f t="shared" si="29"/>
        <v>14850</v>
      </c>
      <c r="X32" s="154">
        <f t="shared" si="17"/>
        <v>15592.5</v>
      </c>
      <c r="Y32" s="154">
        <f t="shared" si="18"/>
        <v>16335</v>
      </c>
      <c r="Z32" s="154">
        <f t="shared" si="19"/>
        <v>17077.5</v>
      </c>
      <c r="AA32" s="156">
        <f t="shared" si="30"/>
        <v>17820</v>
      </c>
      <c r="AB32" s="23"/>
      <c r="AC32" s="23"/>
      <c r="AD32" s="2"/>
    </row>
    <row r="33" ht="21.75" customHeight="1">
      <c r="A33" s="114"/>
      <c r="B33" s="75"/>
      <c r="C33" s="165" t="s">
        <v>41</v>
      </c>
      <c r="D33" s="158">
        <f>G33*D14</f>
        <v>1071</v>
      </c>
      <c r="E33" s="158">
        <f>G33*E14</f>
        <v>1547</v>
      </c>
      <c r="F33" s="158">
        <f>G33*F14</f>
        <v>2023</v>
      </c>
      <c r="G33" s="159">
        <f>Y11+N10</f>
        <v>2380</v>
      </c>
      <c r="H33" s="158">
        <f t="shared" si="1"/>
        <v>2975</v>
      </c>
      <c r="I33" s="158">
        <f t="shared" si="2"/>
        <v>3570</v>
      </c>
      <c r="J33" s="158">
        <f t="shared" si="3"/>
        <v>4165</v>
      </c>
      <c r="K33" s="159">
        <f t="shared" si="26"/>
        <v>4760</v>
      </c>
      <c r="L33" s="158">
        <f t="shared" si="5"/>
        <v>5355</v>
      </c>
      <c r="M33" s="158">
        <f t="shared" si="6"/>
        <v>5950</v>
      </c>
      <c r="N33" s="158">
        <f t="shared" si="7"/>
        <v>6545</v>
      </c>
      <c r="O33" s="159">
        <f t="shared" si="27"/>
        <v>7140</v>
      </c>
      <c r="P33" s="158">
        <f t="shared" si="9"/>
        <v>7735</v>
      </c>
      <c r="Q33" s="158">
        <f t="shared" si="10"/>
        <v>8330</v>
      </c>
      <c r="R33" s="158">
        <f t="shared" si="11"/>
        <v>8925</v>
      </c>
      <c r="S33" s="159">
        <f t="shared" si="28"/>
        <v>9520</v>
      </c>
      <c r="T33" s="158">
        <f t="shared" si="13"/>
        <v>10115</v>
      </c>
      <c r="U33" s="158">
        <f t="shared" si="14"/>
        <v>10710</v>
      </c>
      <c r="V33" s="158">
        <f t="shared" si="15"/>
        <v>11305</v>
      </c>
      <c r="W33" s="159">
        <f t="shared" si="29"/>
        <v>11900</v>
      </c>
      <c r="X33" s="158">
        <f t="shared" si="17"/>
        <v>12495</v>
      </c>
      <c r="Y33" s="158">
        <f t="shared" si="18"/>
        <v>13090</v>
      </c>
      <c r="Z33" s="158">
        <f t="shared" si="19"/>
        <v>13685</v>
      </c>
      <c r="AA33" s="159">
        <f t="shared" si="30"/>
        <v>14280</v>
      </c>
      <c r="AB33" s="23"/>
      <c r="AC33" s="23"/>
      <c r="AD33" s="2"/>
    </row>
    <row r="34" ht="21.75" customHeight="1">
      <c r="A34" s="114"/>
      <c r="B34" s="84"/>
      <c r="C34" s="166" t="s">
        <v>11</v>
      </c>
      <c r="D34" s="161">
        <f>G34*D14</f>
        <v>976.5</v>
      </c>
      <c r="E34" s="161">
        <f>G34*E14</f>
        <v>1410.5</v>
      </c>
      <c r="F34" s="161">
        <f>G34*F14</f>
        <v>1844.5</v>
      </c>
      <c r="G34" s="162">
        <f>Y12+N10</f>
        <v>2170</v>
      </c>
      <c r="H34" s="161">
        <f t="shared" si="1"/>
        <v>2712.5</v>
      </c>
      <c r="I34" s="161">
        <f t="shared" si="2"/>
        <v>3255</v>
      </c>
      <c r="J34" s="161">
        <f t="shared" si="3"/>
        <v>3797.5</v>
      </c>
      <c r="K34" s="162">
        <f t="shared" si="26"/>
        <v>4340</v>
      </c>
      <c r="L34" s="161">
        <f t="shared" si="5"/>
        <v>4882.5</v>
      </c>
      <c r="M34" s="161">
        <f t="shared" si="6"/>
        <v>5425</v>
      </c>
      <c r="N34" s="161">
        <f t="shared" si="7"/>
        <v>5967.5</v>
      </c>
      <c r="O34" s="162">
        <f t="shared" si="27"/>
        <v>6510</v>
      </c>
      <c r="P34" s="161">
        <f t="shared" si="9"/>
        <v>7052.5</v>
      </c>
      <c r="Q34" s="161">
        <f t="shared" si="10"/>
        <v>7595</v>
      </c>
      <c r="R34" s="161">
        <f t="shared" si="11"/>
        <v>8137.5</v>
      </c>
      <c r="S34" s="162">
        <f t="shared" si="28"/>
        <v>8680</v>
      </c>
      <c r="T34" s="161">
        <f t="shared" si="13"/>
        <v>9222.5</v>
      </c>
      <c r="U34" s="161">
        <f t="shared" si="14"/>
        <v>9765</v>
      </c>
      <c r="V34" s="161">
        <f t="shared" si="15"/>
        <v>10307.5</v>
      </c>
      <c r="W34" s="162">
        <f t="shared" si="29"/>
        <v>10850</v>
      </c>
      <c r="X34" s="161">
        <f t="shared" si="17"/>
        <v>11392.5</v>
      </c>
      <c r="Y34" s="161">
        <f t="shared" si="18"/>
        <v>11935</v>
      </c>
      <c r="Z34" s="161">
        <f t="shared" si="19"/>
        <v>12477.5</v>
      </c>
      <c r="AA34" s="162">
        <f t="shared" si="30"/>
        <v>13020</v>
      </c>
      <c r="AB34" s="23"/>
      <c r="AC34" s="23"/>
      <c r="AD34" s="2"/>
    </row>
    <row r="35" ht="21.75" customHeight="1">
      <c r="A35" s="114"/>
      <c r="B35" s="167" t="s">
        <v>55</v>
      </c>
      <c r="C35" s="152" t="s">
        <v>5</v>
      </c>
      <c r="D35" s="154">
        <f>G35*D14</f>
        <v>1147.5</v>
      </c>
      <c r="E35" s="154">
        <f>G35*E14</f>
        <v>1657.5</v>
      </c>
      <c r="F35" s="154">
        <f>G35*F14</f>
        <v>2167.5</v>
      </c>
      <c r="G35" s="155">
        <f>N11+Y7</f>
        <v>2550</v>
      </c>
      <c r="H35" s="154">
        <f t="shared" si="1"/>
        <v>3187.5</v>
      </c>
      <c r="I35" s="154">
        <f t="shared" si="2"/>
        <v>3825</v>
      </c>
      <c r="J35" s="154">
        <f t="shared" si="3"/>
        <v>4462.5</v>
      </c>
      <c r="K35" s="155">
        <f t="shared" si="26"/>
        <v>5100</v>
      </c>
      <c r="L35" s="154">
        <f t="shared" si="5"/>
        <v>5737.5</v>
      </c>
      <c r="M35" s="154">
        <f t="shared" si="6"/>
        <v>6375</v>
      </c>
      <c r="N35" s="154">
        <f t="shared" si="7"/>
        <v>7012.5</v>
      </c>
      <c r="O35" s="155">
        <f t="shared" si="27"/>
        <v>7650</v>
      </c>
      <c r="P35" s="154">
        <f t="shared" si="9"/>
        <v>8287.5</v>
      </c>
      <c r="Q35" s="154">
        <f t="shared" si="10"/>
        <v>8925</v>
      </c>
      <c r="R35" s="154">
        <f t="shared" si="11"/>
        <v>9562.5</v>
      </c>
      <c r="S35" s="155">
        <f t="shared" si="28"/>
        <v>10200</v>
      </c>
      <c r="T35" s="154">
        <f t="shared" si="13"/>
        <v>10837.5</v>
      </c>
      <c r="U35" s="154">
        <f t="shared" si="14"/>
        <v>11475</v>
      </c>
      <c r="V35" s="154">
        <f t="shared" si="15"/>
        <v>12112.5</v>
      </c>
      <c r="W35" s="155">
        <f t="shared" si="29"/>
        <v>12750</v>
      </c>
      <c r="X35" s="154">
        <f t="shared" si="17"/>
        <v>13387.5</v>
      </c>
      <c r="Y35" s="154">
        <f t="shared" si="18"/>
        <v>14025</v>
      </c>
      <c r="Z35" s="154">
        <f t="shared" si="19"/>
        <v>14662.5</v>
      </c>
      <c r="AA35" s="156">
        <f t="shared" si="30"/>
        <v>15300</v>
      </c>
      <c r="AB35" s="23"/>
      <c r="AC35" s="23"/>
      <c r="AD35" s="2"/>
    </row>
    <row r="36" ht="21.75" customHeight="1">
      <c r="A36" s="114"/>
      <c r="B36" s="75"/>
      <c r="C36" s="157" t="s">
        <v>40</v>
      </c>
      <c r="D36" s="158">
        <f>G36*D14</f>
        <v>954</v>
      </c>
      <c r="E36" s="158">
        <f>G36*E14</f>
        <v>1378</v>
      </c>
      <c r="F36" s="158">
        <f>G36*F14</f>
        <v>1802</v>
      </c>
      <c r="G36" s="159">
        <f>N11+Y8</f>
        <v>2120</v>
      </c>
      <c r="H36" s="158">
        <f t="shared" si="1"/>
        <v>2650</v>
      </c>
      <c r="I36" s="158">
        <f t="shared" si="2"/>
        <v>3180</v>
      </c>
      <c r="J36" s="158">
        <f t="shared" si="3"/>
        <v>3710</v>
      </c>
      <c r="K36" s="159">
        <f t="shared" si="26"/>
        <v>4240</v>
      </c>
      <c r="L36" s="158">
        <f t="shared" si="5"/>
        <v>4770</v>
      </c>
      <c r="M36" s="158">
        <f t="shared" si="6"/>
        <v>5300</v>
      </c>
      <c r="N36" s="158">
        <f t="shared" si="7"/>
        <v>5830</v>
      </c>
      <c r="O36" s="159">
        <f t="shared" si="27"/>
        <v>6360</v>
      </c>
      <c r="P36" s="158">
        <f t="shared" si="9"/>
        <v>6890</v>
      </c>
      <c r="Q36" s="158">
        <f t="shared" si="10"/>
        <v>7420</v>
      </c>
      <c r="R36" s="158">
        <f t="shared" si="11"/>
        <v>7950</v>
      </c>
      <c r="S36" s="159">
        <f t="shared" si="28"/>
        <v>8480</v>
      </c>
      <c r="T36" s="158">
        <f t="shared" si="13"/>
        <v>9010</v>
      </c>
      <c r="U36" s="158">
        <f t="shared" si="14"/>
        <v>9540</v>
      </c>
      <c r="V36" s="158">
        <f t="shared" si="15"/>
        <v>10070</v>
      </c>
      <c r="W36" s="159">
        <f t="shared" si="29"/>
        <v>10600</v>
      </c>
      <c r="X36" s="158">
        <f t="shared" si="17"/>
        <v>11130</v>
      </c>
      <c r="Y36" s="158">
        <f t="shared" si="18"/>
        <v>11660</v>
      </c>
      <c r="Z36" s="158">
        <f t="shared" si="19"/>
        <v>12190</v>
      </c>
      <c r="AA36" s="159">
        <f t="shared" si="30"/>
        <v>12720</v>
      </c>
      <c r="AB36" s="23"/>
      <c r="AC36" s="23"/>
      <c r="AD36" s="2"/>
    </row>
    <row r="37" ht="21.75" customHeight="1">
      <c r="A37" s="114"/>
      <c r="B37" s="75"/>
      <c r="C37" s="160" t="s">
        <v>7</v>
      </c>
      <c r="D37" s="161">
        <f>G37*D14</f>
        <v>882</v>
      </c>
      <c r="E37" s="161">
        <f>G37*E14</f>
        <v>1274</v>
      </c>
      <c r="F37" s="161">
        <f>G37*F14</f>
        <v>1666</v>
      </c>
      <c r="G37" s="162">
        <f>N11+Y9</f>
        <v>1960</v>
      </c>
      <c r="H37" s="161">
        <f t="shared" si="1"/>
        <v>2450</v>
      </c>
      <c r="I37" s="161">
        <f t="shared" si="2"/>
        <v>2940</v>
      </c>
      <c r="J37" s="161">
        <f t="shared" si="3"/>
        <v>3430</v>
      </c>
      <c r="K37" s="162">
        <f t="shared" si="26"/>
        <v>3920</v>
      </c>
      <c r="L37" s="161">
        <f t="shared" si="5"/>
        <v>4410</v>
      </c>
      <c r="M37" s="161">
        <f t="shared" si="6"/>
        <v>4900</v>
      </c>
      <c r="N37" s="161">
        <f t="shared" si="7"/>
        <v>5390</v>
      </c>
      <c r="O37" s="162">
        <f t="shared" si="27"/>
        <v>5880</v>
      </c>
      <c r="P37" s="161">
        <f t="shared" si="9"/>
        <v>6370</v>
      </c>
      <c r="Q37" s="161">
        <f t="shared" si="10"/>
        <v>6860</v>
      </c>
      <c r="R37" s="161">
        <f t="shared" si="11"/>
        <v>7350</v>
      </c>
      <c r="S37" s="162">
        <f t="shared" si="28"/>
        <v>7840</v>
      </c>
      <c r="T37" s="161">
        <f t="shared" si="13"/>
        <v>8330</v>
      </c>
      <c r="U37" s="161">
        <f t="shared" si="14"/>
        <v>8820</v>
      </c>
      <c r="V37" s="161">
        <f t="shared" si="15"/>
        <v>9310</v>
      </c>
      <c r="W37" s="162">
        <f t="shared" si="29"/>
        <v>9800</v>
      </c>
      <c r="X37" s="161">
        <f t="shared" si="17"/>
        <v>10290</v>
      </c>
      <c r="Y37" s="161">
        <f t="shared" si="18"/>
        <v>10780</v>
      </c>
      <c r="Z37" s="161">
        <f t="shared" si="19"/>
        <v>11270</v>
      </c>
      <c r="AA37" s="162">
        <f t="shared" si="30"/>
        <v>11760</v>
      </c>
      <c r="AB37" s="23"/>
      <c r="AC37" s="23"/>
      <c r="AD37" s="2"/>
    </row>
    <row r="38" ht="21.75" customHeight="1">
      <c r="A38" s="114"/>
      <c r="B38" s="75"/>
      <c r="C38" s="164" t="s">
        <v>9</v>
      </c>
      <c r="D38" s="154">
        <f>G38*D14</f>
        <v>1278</v>
      </c>
      <c r="E38" s="154">
        <f>G38*E14</f>
        <v>1846</v>
      </c>
      <c r="F38" s="154">
        <f>G38*F14</f>
        <v>2414</v>
      </c>
      <c r="G38" s="155">
        <f>N11+Y10</f>
        <v>2840</v>
      </c>
      <c r="H38" s="154">
        <f t="shared" si="1"/>
        <v>3550</v>
      </c>
      <c r="I38" s="154">
        <f t="shared" si="2"/>
        <v>4260</v>
      </c>
      <c r="J38" s="154">
        <f t="shared" si="3"/>
        <v>4970</v>
      </c>
      <c r="K38" s="155">
        <f t="shared" si="26"/>
        <v>5680</v>
      </c>
      <c r="L38" s="154">
        <f t="shared" si="5"/>
        <v>6390</v>
      </c>
      <c r="M38" s="154">
        <f t="shared" si="6"/>
        <v>7100</v>
      </c>
      <c r="N38" s="154">
        <f t="shared" si="7"/>
        <v>7810</v>
      </c>
      <c r="O38" s="155">
        <f t="shared" si="27"/>
        <v>8520</v>
      </c>
      <c r="P38" s="154">
        <f t="shared" si="9"/>
        <v>9230</v>
      </c>
      <c r="Q38" s="154">
        <f t="shared" si="10"/>
        <v>9940</v>
      </c>
      <c r="R38" s="154">
        <f t="shared" si="11"/>
        <v>10650</v>
      </c>
      <c r="S38" s="155">
        <f t="shared" si="28"/>
        <v>11360</v>
      </c>
      <c r="T38" s="154">
        <f t="shared" si="13"/>
        <v>12070</v>
      </c>
      <c r="U38" s="154">
        <f t="shared" si="14"/>
        <v>12780</v>
      </c>
      <c r="V38" s="154">
        <f t="shared" si="15"/>
        <v>13490</v>
      </c>
      <c r="W38" s="155">
        <f t="shared" si="29"/>
        <v>14200</v>
      </c>
      <c r="X38" s="154">
        <f t="shared" si="17"/>
        <v>14910</v>
      </c>
      <c r="Y38" s="154">
        <f t="shared" si="18"/>
        <v>15620</v>
      </c>
      <c r="Z38" s="154">
        <f t="shared" si="19"/>
        <v>16330</v>
      </c>
      <c r="AA38" s="156">
        <f t="shared" si="30"/>
        <v>17040</v>
      </c>
      <c r="AB38" s="23"/>
      <c r="AC38" s="23"/>
      <c r="AD38" s="2"/>
    </row>
    <row r="39" ht="21.75" customHeight="1">
      <c r="A39" s="114"/>
      <c r="B39" s="75"/>
      <c r="C39" s="165" t="s">
        <v>41</v>
      </c>
      <c r="D39" s="158">
        <f>G39*D14</f>
        <v>1012.5</v>
      </c>
      <c r="E39" s="158">
        <f>G39*E14</f>
        <v>1462.5</v>
      </c>
      <c r="F39" s="158">
        <f>G39*F14</f>
        <v>1912.5</v>
      </c>
      <c r="G39" s="159">
        <f>N11+Y11</f>
        <v>2250</v>
      </c>
      <c r="H39" s="158">
        <f t="shared" si="1"/>
        <v>2812.5</v>
      </c>
      <c r="I39" s="158">
        <f t="shared" si="2"/>
        <v>3375</v>
      </c>
      <c r="J39" s="158">
        <f t="shared" si="3"/>
        <v>3937.5</v>
      </c>
      <c r="K39" s="159">
        <f t="shared" si="26"/>
        <v>4500</v>
      </c>
      <c r="L39" s="158">
        <f t="shared" si="5"/>
        <v>5062.5</v>
      </c>
      <c r="M39" s="158">
        <f t="shared" si="6"/>
        <v>5625</v>
      </c>
      <c r="N39" s="158">
        <f t="shared" si="7"/>
        <v>6187.5</v>
      </c>
      <c r="O39" s="159">
        <f t="shared" si="27"/>
        <v>6750</v>
      </c>
      <c r="P39" s="158">
        <f t="shared" si="9"/>
        <v>7312.5</v>
      </c>
      <c r="Q39" s="158">
        <f t="shared" si="10"/>
        <v>7875</v>
      </c>
      <c r="R39" s="158">
        <f t="shared" si="11"/>
        <v>8437.5</v>
      </c>
      <c r="S39" s="159">
        <f t="shared" si="28"/>
        <v>9000</v>
      </c>
      <c r="T39" s="158">
        <f t="shared" si="13"/>
        <v>9562.5</v>
      </c>
      <c r="U39" s="158">
        <f t="shared" si="14"/>
        <v>10125</v>
      </c>
      <c r="V39" s="158">
        <f t="shared" si="15"/>
        <v>10687.5</v>
      </c>
      <c r="W39" s="159">
        <f t="shared" si="29"/>
        <v>11250</v>
      </c>
      <c r="X39" s="158">
        <f t="shared" si="17"/>
        <v>11812.5</v>
      </c>
      <c r="Y39" s="158">
        <f t="shared" si="18"/>
        <v>12375</v>
      </c>
      <c r="Z39" s="158">
        <f t="shared" si="19"/>
        <v>12937.5</v>
      </c>
      <c r="AA39" s="159">
        <f t="shared" si="30"/>
        <v>13500</v>
      </c>
      <c r="AB39" s="23"/>
      <c r="AC39" s="23"/>
      <c r="AD39" s="2"/>
    </row>
    <row r="40" ht="21.75" customHeight="1">
      <c r="A40" s="114"/>
      <c r="B40" s="84"/>
      <c r="C40" s="166" t="s">
        <v>11</v>
      </c>
      <c r="D40" s="161">
        <f>G40*D14</f>
        <v>918</v>
      </c>
      <c r="E40" s="161">
        <f>G40*E14</f>
        <v>1326</v>
      </c>
      <c r="F40" s="161">
        <f>G40*F14</f>
        <v>1734</v>
      </c>
      <c r="G40" s="162">
        <f>N11+Y12</f>
        <v>2040</v>
      </c>
      <c r="H40" s="161">
        <f t="shared" si="1"/>
        <v>2550</v>
      </c>
      <c r="I40" s="161">
        <f t="shared" si="2"/>
        <v>3060</v>
      </c>
      <c r="J40" s="161">
        <f t="shared" si="3"/>
        <v>3570</v>
      </c>
      <c r="K40" s="162">
        <f t="shared" si="26"/>
        <v>4080</v>
      </c>
      <c r="L40" s="161">
        <f t="shared" si="5"/>
        <v>4590</v>
      </c>
      <c r="M40" s="161">
        <f t="shared" si="6"/>
        <v>5100</v>
      </c>
      <c r="N40" s="161">
        <f t="shared" si="7"/>
        <v>5610</v>
      </c>
      <c r="O40" s="162">
        <f t="shared" si="27"/>
        <v>6120</v>
      </c>
      <c r="P40" s="161">
        <f t="shared" si="9"/>
        <v>6630</v>
      </c>
      <c r="Q40" s="161">
        <f t="shared" si="10"/>
        <v>7140</v>
      </c>
      <c r="R40" s="161">
        <f t="shared" si="11"/>
        <v>7650</v>
      </c>
      <c r="S40" s="162">
        <f t="shared" si="28"/>
        <v>8160</v>
      </c>
      <c r="T40" s="161">
        <f t="shared" si="13"/>
        <v>8670</v>
      </c>
      <c r="U40" s="161">
        <f t="shared" si="14"/>
        <v>9180</v>
      </c>
      <c r="V40" s="161">
        <f t="shared" si="15"/>
        <v>9690</v>
      </c>
      <c r="W40" s="162">
        <f t="shared" si="29"/>
        <v>10200</v>
      </c>
      <c r="X40" s="161">
        <f t="shared" si="17"/>
        <v>10710</v>
      </c>
      <c r="Y40" s="161">
        <f t="shared" si="18"/>
        <v>11220</v>
      </c>
      <c r="Z40" s="161">
        <f t="shared" si="19"/>
        <v>11730</v>
      </c>
      <c r="AA40" s="162">
        <f t="shared" si="30"/>
        <v>12240</v>
      </c>
      <c r="AB40" s="23"/>
      <c r="AC40" s="23"/>
      <c r="AD40" s="2"/>
    </row>
    <row r="41" ht="21.75" customHeight="1">
      <c r="A41" s="114"/>
      <c r="B41" s="167" t="s">
        <v>56</v>
      </c>
      <c r="C41" s="152" t="s">
        <v>5</v>
      </c>
      <c r="D41" s="154">
        <f>G41*D14</f>
        <v>1170</v>
      </c>
      <c r="E41" s="154">
        <f>G41*E14</f>
        <v>1690</v>
      </c>
      <c r="F41" s="154">
        <f>G41*F14</f>
        <v>2210</v>
      </c>
      <c r="G41" s="155">
        <f>N12+Y7</f>
        <v>2600</v>
      </c>
      <c r="H41" s="154">
        <f t="shared" si="1"/>
        <v>3250</v>
      </c>
      <c r="I41" s="154">
        <f t="shared" si="2"/>
        <v>3900</v>
      </c>
      <c r="J41" s="154">
        <f t="shared" si="3"/>
        <v>4550</v>
      </c>
      <c r="K41" s="155">
        <f t="shared" si="26"/>
        <v>5200</v>
      </c>
      <c r="L41" s="154">
        <f t="shared" si="5"/>
        <v>5850</v>
      </c>
      <c r="M41" s="154">
        <f t="shared" si="6"/>
        <v>6500</v>
      </c>
      <c r="N41" s="154">
        <f t="shared" si="7"/>
        <v>7150</v>
      </c>
      <c r="O41" s="155">
        <f t="shared" si="27"/>
        <v>7800</v>
      </c>
      <c r="P41" s="154">
        <f t="shared" si="9"/>
        <v>8450</v>
      </c>
      <c r="Q41" s="154">
        <f t="shared" si="10"/>
        <v>9100</v>
      </c>
      <c r="R41" s="154">
        <f t="shared" si="11"/>
        <v>9750</v>
      </c>
      <c r="S41" s="155">
        <f t="shared" si="28"/>
        <v>10400</v>
      </c>
      <c r="T41" s="154">
        <f t="shared" si="13"/>
        <v>11050</v>
      </c>
      <c r="U41" s="154">
        <f t="shared" si="14"/>
        <v>11700</v>
      </c>
      <c r="V41" s="154">
        <f t="shared" si="15"/>
        <v>12350</v>
      </c>
      <c r="W41" s="155">
        <f t="shared" si="29"/>
        <v>13000</v>
      </c>
      <c r="X41" s="154">
        <f t="shared" si="17"/>
        <v>13650</v>
      </c>
      <c r="Y41" s="154">
        <f t="shared" si="18"/>
        <v>14300</v>
      </c>
      <c r="Z41" s="154">
        <f t="shared" si="19"/>
        <v>14950</v>
      </c>
      <c r="AA41" s="156">
        <f t="shared" si="30"/>
        <v>15600</v>
      </c>
      <c r="AB41" s="23"/>
      <c r="AC41" s="23"/>
      <c r="AD41" s="2"/>
    </row>
    <row r="42" ht="21.75" customHeight="1">
      <c r="A42" s="114"/>
      <c r="B42" s="75"/>
      <c r="C42" s="157" t="s">
        <v>40</v>
      </c>
      <c r="D42" s="158">
        <f>G42*D14</f>
        <v>976.5</v>
      </c>
      <c r="E42" s="158">
        <f>G42*E14</f>
        <v>1410.5</v>
      </c>
      <c r="F42" s="158">
        <f>G42*F14</f>
        <v>1844.5</v>
      </c>
      <c r="G42" s="159">
        <f>N12+Y8</f>
        <v>2170</v>
      </c>
      <c r="H42" s="158">
        <f t="shared" si="1"/>
        <v>2712.5</v>
      </c>
      <c r="I42" s="158">
        <f t="shared" si="2"/>
        <v>3255</v>
      </c>
      <c r="J42" s="158">
        <f t="shared" si="3"/>
        <v>3797.5</v>
      </c>
      <c r="K42" s="159">
        <f t="shared" si="26"/>
        <v>4340</v>
      </c>
      <c r="L42" s="158">
        <f t="shared" si="5"/>
        <v>4882.5</v>
      </c>
      <c r="M42" s="158">
        <f t="shared" si="6"/>
        <v>5425</v>
      </c>
      <c r="N42" s="158">
        <f t="shared" si="7"/>
        <v>5967.5</v>
      </c>
      <c r="O42" s="159">
        <f t="shared" si="27"/>
        <v>6510</v>
      </c>
      <c r="P42" s="158">
        <f t="shared" si="9"/>
        <v>7052.5</v>
      </c>
      <c r="Q42" s="158">
        <f t="shared" si="10"/>
        <v>7595</v>
      </c>
      <c r="R42" s="158">
        <f t="shared" si="11"/>
        <v>8137.5</v>
      </c>
      <c r="S42" s="159">
        <f t="shared" si="28"/>
        <v>8680</v>
      </c>
      <c r="T42" s="158">
        <f t="shared" si="13"/>
        <v>9222.5</v>
      </c>
      <c r="U42" s="158">
        <f t="shared" si="14"/>
        <v>9765</v>
      </c>
      <c r="V42" s="158">
        <f t="shared" si="15"/>
        <v>10307.5</v>
      </c>
      <c r="W42" s="159">
        <f t="shared" si="29"/>
        <v>10850</v>
      </c>
      <c r="X42" s="158">
        <f t="shared" si="17"/>
        <v>11392.5</v>
      </c>
      <c r="Y42" s="158">
        <f t="shared" si="18"/>
        <v>11935</v>
      </c>
      <c r="Z42" s="158">
        <f t="shared" si="19"/>
        <v>12477.5</v>
      </c>
      <c r="AA42" s="159">
        <f t="shared" si="30"/>
        <v>13020</v>
      </c>
      <c r="AB42" s="23"/>
      <c r="AC42" s="23"/>
      <c r="AD42" s="2"/>
    </row>
    <row r="43" ht="21.75" customHeight="1">
      <c r="A43" s="114"/>
      <c r="B43" s="75"/>
      <c r="C43" s="160" t="s">
        <v>7</v>
      </c>
      <c r="D43" s="161">
        <f>G43*D14</f>
        <v>904.5</v>
      </c>
      <c r="E43" s="161">
        <f>G43*E14</f>
        <v>1306.5</v>
      </c>
      <c r="F43" s="161">
        <f>G43*F14</f>
        <v>1708.5</v>
      </c>
      <c r="G43" s="162">
        <f>N12+Y9</f>
        <v>2010</v>
      </c>
      <c r="H43" s="161">
        <f t="shared" si="1"/>
        <v>2512.5</v>
      </c>
      <c r="I43" s="161">
        <f t="shared" si="2"/>
        <v>3015</v>
      </c>
      <c r="J43" s="161">
        <f t="shared" si="3"/>
        <v>3517.5</v>
      </c>
      <c r="K43" s="162">
        <f t="shared" si="26"/>
        <v>4020</v>
      </c>
      <c r="L43" s="161">
        <f t="shared" si="5"/>
        <v>4522.5</v>
      </c>
      <c r="M43" s="161">
        <f t="shared" si="6"/>
        <v>5025</v>
      </c>
      <c r="N43" s="161">
        <f t="shared" si="7"/>
        <v>5527.5</v>
      </c>
      <c r="O43" s="162">
        <f t="shared" si="27"/>
        <v>6030</v>
      </c>
      <c r="P43" s="161">
        <f t="shared" si="9"/>
        <v>6532.5</v>
      </c>
      <c r="Q43" s="161">
        <f t="shared" si="10"/>
        <v>7035</v>
      </c>
      <c r="R43" s="161">
        <f t="shared" si="11"/>
        <v>7537.5</v>
      </c>
      <c r="S43" s="162">
        <f t="shared" si="28"/>
        <v>8040</v>
      </c>
      <c r="T43" s="161">
        <f t="shared" si="13"/>
        <v>8542.5</v>
      </c>
      <c r="U43" s="161">
        <f t="shared" si="14"/>
        <v>9045</v>
      </c>
      <c r="V43" s="161">
        <f t="shared" si="15"/>
        <v>9547.5</v>
      </c>
      <c r="W43" s="162">
        <f t="shared" si="29"/>
        <v>10050</v>
      </c>
      <c r="X43" s="161">
        <f t="shared" si="17"/>
        <v>10552.5</v>
      </c>
      <c r="Y43" s="161">
        <f t="shared" si="18"/>
        <v>11055</v>
      </c>
      <c r="Z43" s="161">
        <f t="shared" si="19"/>
        <v>11557.5</v>
      </c>
      <c r="AA43" s="162">
        <f t="shared" si="30"/>
        <v>12060</v>
      </c>
      <c r="AB43" s="23"/>
      <c r="AC43" s="23"/>
      <c r="AD43" s="2"/>
    </row>
    <row r="44" ht="21.75" customHeight="1">
      <c r="A44" s="114"/>
      <c r="B44" s="75"/>
      <c r="C44" s="164" t="s">
        <v>9</v>
      </c>
      <c r="D44" s="154">
        <f>G44*D14</f>
        <v>1300.5</v>
      </c>
      <c r="E44" s="154">
        <f>G44*E14</f>
        <v>1878.5</v>
      </c>
      <c r="F44" s="154">
        <f>G44*F14</f>
        <v>2456.5</v>
      </c>
      <c r="G44" s="155">
        <f>N12+Y10</f>
        <v>2890</v>
      </c>
      <c r="H44" s="154">
        <f t="shared" si="1"/>
        <v>3612.5</v>
      </c>
      <c r="I44" s="154">
        <f t="shared" si="2"/>
        <v>4335</v>
      </c>
      <c r="J44" s="154">
        <f t="shared" si="3"/>
        <v>5057.5</v>
      </c>
      <c r="K44" s="155">
        <f t="shared" si="26"/>
        <v>5780</v>
      </c>
      <c r="L44" s="154">
        <f t="shared" si="5"/>
        <v>6502.5</v>
      </c>
      <c r="M44" s="154">
        <f t="shared" si="6"/>
        <v>7225</v>
      </c>
      <c r="N44" s="154">
        <f t="shared" si="7"/>
        <v>7947.5</v>
      </c>
      <c r="O44" s="155">
        <f t="shared" si="27"/>
        <v>8670</v>
      </c>
      <c r="P44" s="154">
        <f t="shared" si="9"/>
        <v>9392.5</v>
      </c>
      <c r="Q44" s="154">
        <f t="shared" si="10"/>
        <v>10115</v>
      </c>
      <c r="R44" s="154">
        <f t="shared" si="11"/>
        <v>10837.5</v>
      </c>
      <c r="S44" s="155">
        <f t="shared" si="28"/>
        <v>11560</v>
      </c>
      <c r="T44" s="154">
        <f t="shared" si="13"/>
        <v>12282.5</v>
      </c>
      <c r="U44" s="154">
        <f t="shared" si="14"/>
        <v>13005</v>
      </c>
      <c r="V44" s="154">
        <f t="shared" si="15"/>
        <v>13727.5</v>
      </c>
      <c r="W44" s="155">
        <f t="shared" si="29"/>
        <v>14450</v>
      </c>
      <c r="X44" s="154">
        <f t="shared" si="17"/>
        <v>15172.5</v>
      </c>
      <c r="Y44" s="154">
        <f t="shared" si="18"/>
        <v>15895</v>
      </c>
      <c r="Z44" s="154">
        <f t="shared" si="19"/>
        <v>16617.5</v>
      </c>
      <c r="AA44" s="156">
        <f t="shared" si="30"/>
        <v>17340</v>
      </c>
      <c r="AB44" s="23"/>
      <c r="AC44" s="23"/>
      <c r="AD44" s="2"/>
    </row>
    <row r="45" ht="21.75" customHeight="1">
      <c r="A45" s="114"/>
      <c r="B45" s="75"/>
      <c r="C45" s="165" t="s">
        <v>41</v>
      </c>
      <c r="D45" s="158">
        <f>G45*D14</f>
        <v>1035</v>
      </c>
      <c r="E45" s="158">
        <f>G45*E14</f>
        <v>1495</v>
      </c>
      <c r="F45" s="158">
        <f>G45*F14</f>
        <v>1955</v>
      </c>
      <c r="G45" s="159">
        <f>N12+Y11</f>
        <v>2300</v>
      </c>
      <c r="H45" s="158">
        <f t="shared" si="1"/>
        <v>2875</v>
      </c>
      <c r="I45" s="158">
        <f t="shared" si="2"/>
        <v>3450</v>
      </c>
      <c r="J45" s="158">
        <f t="shared" si="3"/>
        <v>4025</v>
      </c>
      <c r="K45" s="159">
        <f t="shared" si="26"/>
        <v>4600</v>
      </c>
      <c r="L45" s="158">
        <f t="shared" si="5"/>
        <v>5175</v>
      </c>
      <c r="M45" s="158">
        <f t="shared" si="6"/>
        <v>5750</v>
      </c>
      <c r="N45" s="158">
        <f t="shared" si="7"/>
        <v>6325</v>
      </c>
      <c r="O45" s="159">
        <f t="shared" si="27"/>
        <v>6900</v>
      </c>
      <c r="P45" s="158">
        <f t="shared" si="9"/>
        <v>7475</v>
      </c>
      <c r="Q45" s="158">
        <f t="shared" si="10"/>
        <v>8050</v>
      </c>
      <c r="R45" s="158">
        <f t="shared" si="11"/>
        <v>8625</v>
      </c>
      <c r="S45" s="159">
        <f t="shared" si="28"/>
        <v>9200</v>
      </c>
      <c r="T45" s="158">
        <f t="shared" si="13"/>
        <v>9775</v>
      </c>
      <c r="U45" s="158">
        <f t="shared" si="14"/>
        <v>10350</v>
      </c>
      <c r="V45" s="158">
        <f t="shared" si="15"/>
        <v>10925</v>
      </c>
      <c r="W45" s="159">
        <f t="shared" si="29"/>
        <v>11500</v>
      </c>
      <c r="X45" s="158">
        <f t="shared" si="17"/>
        <v>12075</v>
      </c>
      <c r="Y45" s="158">
        <f t="shared" si="18"/>
        <v>12650</v>
      </c>
      <c r="Z45" s="158">
        <f t="shared" si="19"/>
        <v>13225</v>
      </c>
      <c r="AA45" s="159">
        <f t="shared" si="30"/>
        <v>13800</v>
      </c>
      <c r="AB45" s="23"/>
      <c r="AC45" s="23"/>
      <c r="AD45" s="2"/>
    </row>
    <row r="46" ht="21.75" customHeight="1">
      <c r="A46" s="168"/>
      <c r="B46" s="84"/>
      <c r="C46" s="166" t="s">
        <v>11</v>
      </c>
      <c r="D46" s="161">
        <f>G46*D14</f>
        <v>940.5</v>
      </c>
      <c r="E46" s="161">
        <f>G46*E14</f>
        <v>1358.5</v>
      </c>
      <c r="F46" s="161">
        <f>G46*F14</f>
        <v>1776.5</v>
      </c>
      <c r="G46" s="162">
        <f>N12+Y12</f>
        <v>2090</v>
      </c>
      <c r="H46" s="161">
        <f t="shared" si="1"/>
        <v>2612.5</v>
      </c>
      <c r="I46" s="161">
        <f t="shared" si="2"/>
        <v>3135</v>
      </c>
      <c r="J46" s="161">
        <f t="shared" si="3"/>
        <v>3657.5</v>
      </c>
      <c r="K46" s="162">
        <f t="shared" si="26"/>
        <v>4180</v>
      </c>
      <c r="L46" s="161">
        <f t="shared" si="5"/>
        <v>4702.5</v>
      </c>
      <c r="M46" s="161">
        <f t="shared" si="6"/>
        <v>5225</v>
      </c>
      <c r="N46" s="161">
        <f t="shared" si="7"/>
        <v>5747.5</v>
      </c>
      <c r="O46" s="162">
        <f t="shared" si="27"/>
        <v>6270</v>
      </c>
      <c r="P46" s="161">
        <f t="shared" si="9"/>
        <v>6792.5</v>
      </c>
      <c r="Q46" s="161">
        <f t="shared" si="10"/>
        <v>7315</v>
      </c>
      <c r="R46" s="161">
        <f t="shared" si="11"/>
        <v>7837.5</v>
      </c>
      <c r="S46" s="162">
        <f t="shared" si="28"/>
        <v>8360</v>
      </c>
      <c r="T46" s="161">
        <f t="shared" si="13"/>
        <v>8882.5</v>
      </c>
      <c r="U46" s="161">
        <f t="shared" si="14"/>
        <v>9405</v>
      </c>
      <c r="V46" s="161">
        <f t="shared" si="15"/>
        <v>9927.5</v>
      </c>
      <c r="W46" s="162">
        <f t="shared" si="29"/>
        <v>10450</v>
      </c>
      <c r="X46" s="161">
        <f t="shared" si="17"/>
        <v>10972.5</v>
      </c>
      <c r="Y46" s="161">
        <f t="shared" si="18"/>
        <v>11495</v>
      </c>
      <c r="Z46" s="161">
        <f t="shared" si="19"/>
        <v>12017.5</v>
      </c>
      <c r="AA46" s="162">
        <f t="shared" si="30"/>
        <v>12540</v>
      </c>
      <c r="AB46" s="23"/>
      <c r="AC46" s="23"/>
      <c r="AD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0" customHeight="1">
      <c r="A48" s="2" t="s"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</sheetData>
  <mergeCells count="39">
    <mergeCell ref="R7:T9"/>
    <mergeCell ref="R10:T12"/>
    <mergeCell ref="U12:X12"/>
    <mergeCell ref="Y12:AA12"/>
    <mergeCell ref="A1:AA6"/>
    <mergeCell ref="A7:B12"/>
    <mergeCell ref="C7:D12"/>
    <mergeCell ref="F7:G12"/>
    <mergeCell ref="H7:I9"/>
    <mergeCell ref="N8:O9"/>
    <mergeCell ref="Y11:AA11"/>
    <mergeCell ref="A17:A28"/>
    <mergeCell ref="A29:A46"/>
    <mergeCell ref="B29:B34"/>
    <mergeCell ref="B35:B40"/>
    <mergeCell ref="B41:B46"/>
    <mergeCell ref="N10:O10"/>
    <mergeCell ref="J12:M12"/>
    <mergeCell ref="N12:O12"/>
    <mergeCell ref="A15:B15"/>
    <mergeCell ref="A16:AA16"/>
    <mergeCell ref="B17:B22"/>
    <mergeCell ref="B23:B28"/>
    <mergeCell ref="N7:O7"/>
    <mergeCell ref="U7:X7"/>
    <mergeCell ref="J7:M7"/>
    <mergeCell ref="J8:M9"/>
    <mergeCell ref="Y7:AA7"/>
    <mergeCell ref="U8:X8"/>
    <mergeCell ref="Y8:AA8"/>
    <mergeCell ref="U9:X9"/>
    <mergeCell ref="Y9:AA9"/>
    <mergeCell ref="H10:I12"/>
    <mergeCell ref="J10:M10"/>
    <mergeCell ref="J11:M11"/>
    <mergeCell ref="U10:X10"/>
    <mergeCell ref="Y10:AA10"/>
    <mergeCell ref="N11:O11"/>
    <mergeCell ref="U11:X1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7.63"/>
    <col customWidth="1" min="3" max="3" width="26.25"/>
    <col customWidth="1" hidden="1" min="4" max="18" width="8.63"/>
    <col customWidth="1" min="19" max="19" width="11.5"/>
    <col customWidth="1" min="20" max="27" width="8.63"/>
    <col customWidth="1" min="28" max="30" width="9.0"/>
  </cols>
  <sheetData>
    <row r="1" ht="15.0" customHeight="1">
      <c r="A1" s="169" t="s">
        <v>0</v>
      </c>
      <c r="AB1" s="2"/>
      <c r="AC1" s="2"/>
      <c r="AD1" s="2"/>
    </row>
    <row r="2" ht="15.0" customHeight="1">
      <c r="AB2" s="2"/>
      <c r="AC2" s="2"/>
      <c r="AD2" s="2"/>
    </row>
    <row r="3" ht="15.0" customHeight="1">
      <c r="AB3" s="2"/>
      <c r="AC3" s="2"/>
      <c r="AD3" s="2"/>
    </row>
    <row r="4" ht="15.0" customHeight="1">
      <c r="AB4" s="2"/>
      <c r="AC4" s="2"/>
      <c r="AD4" s="2"/>
    </row>
    <row r="5" ht="15.0" customHeight="1">
      <c r="AB5" s="2"/>
      <c r="AC5" s="2"/>
      <c r="AD5" s="2"/>
    </row>
    <row r="6" ht="15.0" customHeight="1">
      <c r="AB6" s="2"/>
      <c r="AC6" s="2"/>
      <c r="AD6" s="2"/>
    </row>
    <row r="7" ht="15.75" customHeight="1">
      <c r="A7" s="86" t="s">
        <v>1</v>
      </c>
      <c r="B7" s="4"/>
      <c r="C7" s="5" t="s">
        <v>2</v>
      </c>
      <c r="D7" s="6"/>
      <c r="E7" s="7"/>
      <c r="F7" s="170"/>
      <c r="G7" s="4"/>
      <c r="H7" s="8" t="s">
        <v>3</v>
      </c>
      <c r="I7" s="4"/>
      <c r="J7" s="9" t="s">
        <v>61</v>
      </c>
      <c r="K7" s="37"/>
      <c r="L7" s="37"/>
      <c r="M7" s="10"/>
      <c r="N7" s="171"/>
      <c r="O7" s="10"/>
      <c r="P7" s="7"/>
      <c r="Q7" s="7"/>
      <c r="R7" s="17" t="s">
        <v>4</v>
      </c>
      <c r="S7" s="18"/>
      <c r="T7" s="4"/>
      <c r="U7" s="19" t="s">
        <v>5</v>
      </c>
      <c r="V7" s="20"/>
      <c r="W7" s="20"/>
      <c r="X7" s="21"/>
      <c r="Y7" s="22">
        <v>1400.0</v>
      </c>
      <c r="Z7" s="20"/>
      <c r="AA7" s="20"/>
      <c r="AB7" s="23"/>
      <c r="AC7" s="2"/>
      <c r="AD7" s="2"/>
    </row>
    <row r="8" ht="15.75" customHeight="1">
      <c r="A8" s="24"/>
      <c r="B8" s="6"/>
      <c r="C8" s="25"/>
      <c r="D8" s="6"/>
      <c r="E8" s="26"/>
      <c r="F8" s="25"/>
      <c r="G8" s="6"/>
      <c r="H8" s="25"/>
      <c r="I8" s="6"/>
      <c r="J8" s="25"/>
      <c r="M8" s="6"/>
      <c r="N8" s="25"/>
      <c r="O8" s="6"/>
      <c r="P8" s="26"/>
      <c r="Q8" s="26"/>
      <c r="R8" s="25"/>
      <c r="T8" s="6"/>
      <c r="U8" s="32" t="s">
        <v>6</v>
      </c>
      <c r="V8" s="33"/>
      <c r="W8" s="33"/>
      <c r="X8" s="34"/>
      <c r="Y8" s="35">
        <v>970.0</v>
      </c>
      <c r="Z8" s="33"/>
      <c r="AA8" s="33"/>
      <c r="AB8" s="23"/>
      <c r="AC8" s="2"/>
      <c r="AD8" s="2"/>
    </row>
    <row r="9" ht="15.75" customHeight="1">
      <c r="A9" s="24"/>
      <c r="B9" s="6"/>
      <c r="C9" s="25"/>
      <c r="D9" s="6"/>
      <c r="E9" s="26"/>
      <c r="F9" s="25"/>
      <c r="G9" s="6"/>
      <c r="H9" s="25"/>
      <c r="I9" s="6"/>
      <c r="J9" s="25"/>
      <c r="M9" s="6"/>
      <c r="N9" s="25"/>
      <c r="O9" s="6"/>
      <c r="P9" s="26"/>
      <c r="Q9" s="26"/>
      <c r="R9" s="41"/>
      <c r="S9" s="28"/>
      <c r="T9" s="29"/>
      <c r="U9" s="32" t="s">
        <v>7</v>
      </c>
      <c r="V9" s="33"/>
      <c r="W9" s="33"/>
      <c r="X9" s="34"/>
      <c r="Y9" s="42">
        <v>810.0</v>
      </c>
      <c r="Z9" s="33"/>
      <c r="AA9" s="33"/>
      <c r="AB9" s="23"/>
      <c r="AC9" s="2"/>
      <c r="AD9" s="2"/>
    </row>
    <row r="10" ht="15.75" customHeight="1">
      <c r="A10" s="24"/>
      <c r="B10" s="6"/>
      <c r="C10" s="25"/>
      <c r="D10" s="6"/>
      <c r="E10" s="26"/>
      <c r="F10" s="25"/>
      <c r="G10" s="6"/>
      <c r="H10" s="25"/>
      <c r="I10" s="6"/>
      <c r="J10" s="41"/>
      <c r="K10" s="28"/>
      <c r="L10" s="28"/>
      <c r="M10" s="29"/>
      <c r="N10" s="41"/>
      <c r="O10" s="29"/>
      <c r="P10" s="26"/>
      <c r="Q10" s="26"/>
      <c r="R10" s="45" t="s">
        <v>8</v>
      </c>
      <c r="S10" s="37"/>
      <c r="T10" s="10"/>
      <c r="U10" s="46" t="s">
        <v>9</v>
      </c>
      <c r="V10" s="33"/>
      <c r="W10" s="33"/>
      <c r="X10" s="34"/>
      <c r="Y10" s="47">
        <v>1690.0</v>
      </c>
      <c r="Z10" s="33"/>
      <c r="AA10" s="33"/>
      <c r="AB10" s="23"/>
      <c r="AC10" s="2"/>
      <c r="AD10" s="2"/>
    </row>
    <row r="11" ht="15.75" customHeight="1">
      <c r="A11" s="24"/>
      <c r="B11" s="6"/>
      <c r="C11" s="25"/>
      <c r="D11" s="6"/>
      <c r="E11" s="48"/>
      <c r="F11" s="25"/>
      <c r="G11" s="6"/>
      <c r="H11" s="25"/>
      <c r="I11" s="6"/>
      <c r="J11" s="9" t="s">
        <v>62</v>
      </c>
      <c r="K11" s="37"/>
      <c r="L11" s="37"/>
      <c r="M11" s="10"/>
      <c r="N11" s="171"/>
      <c r="O11" s="10"/>
      <c r="P11" s="26"/>
      <c r="Q11" s="26"/>
      <c r="R11" s="25"/>
      <c r="T11" s="6"/>
      <c r="U11" s="46" t="s">
        <v>10</v>
      </c>
      <c r="V11" s="33"/>
      <c r="W11" s="33"/>
      <c r="X11" s="34"/>
      <c r="Y11" s="51">
        <v>1100.0</v>
      </c>
      <c r="Z11" s="33"/>
      <c r="AA11" s="33"/>
      <c r="AB11" s="23"/>
      <c r="AC11" s="2"/>
      <c r="AD11" s="2"/>
    </row>
    <row r="12" ht="15.75" customHeight="1">
      <c r="A12" s="27"/>
      <c r="B12" s="29"/>
      <c r="C12" s="41"/>
      <c r="D12" s="29"/>
      <c r="E12" s="48"/>
      <c r="F12" s="41"/>
      <c r="G12" s="29"/>
      <c r="H12" s="25"/>
      <c r="I12" s="6"/>
      <c r="J12" s="25"/>
      <c r="M12" s="6"/>
      <c r="N12" s="25"/>
      <c r="O12" s="6"/>
      <c r="P12" s="26"/>
      <c r="Q12" s="26"/>
      <c r="R12" s="41"/>
      <c r="S12" s="28"/>
      <c r="T12" s="29"/>
      <c r="U12" s="46" t="s">
        <v>11</v>
      </c>
      <c r="V12" s="33"/>
      <c r="W12" s="33"/>
      <c r="X12" s="34"/>
      <c r="Y12" s="47">
        <v>890.0</v>
      </c>
      <c r="Z12" s="33"/>
      <c r="AA12" s="33"/>
      <c r="AB12" s="23"/>
      <c r="AC12" s="2"/>
      <c r="AD12" s="2"/>
    </row>
    <row r="13" ht="15.75" customHeight="1">
      <c r="A13" s="172"/>
      <c r="B13" s="173"/>
      <c r="C13" s="174"/>
      <c r="D13" s="175"/>
      <c r="E13" s="48"/>
      <c r="F13" s="176"/>
      <c r="G13" s="177"/>
      <c r="H13" s="25"/>
      <c r="I13" s="6"/>
      <c r="J13" s="25"/>
      <c r="M13" s="6"/>
      <c r="N13" s="25"/>
      <c r="O13" s="6"/>
      <c r="P13" s="26"/>
      <c r="Q13" s="26"/>
      <c r="R13" s="178"/>
      <c r="S13" s="178"/>
      <c r="T13" s="178"/>
      <c r="U13" s="179"/>
      <c r="V13" s="179"/>
      <c r="W13" s="179"/>
      <c r="X13" s="179"/>
      <c r="Y13" s="180"/>
      <c r="Z13" s="180"/>
      <c r="AA13" s="181"/>
      <c r="AB13" s="23"/>
      <c r="AC13" s="2"/>
      <c r="AD13" s="2"/>
    </row>
    <row r="14" ht="15.75" customHeight="1">
      <c r="A14" s="172"/>
      <c r="B14" s="173"/>
      <c r="C14" s="174"/>
      <c r="D14" s="175"/>
      <c r="E14" s="48"/>
      <c r="F14" s="176"/>
      <c r="G14" s="177"/>
      <c r="H14" s="41"/>
      <c r="I14" s="29"/>
      <c r="J14" s="41"/>
      <c r="K14" s="28"/>
      <c r="L14" s="28"/>
      <c r="M14" s="29"/>
      <c r="N14" s="41"/>
      <c r="O14" s="29"/>
      <c r="P14" s="26"/>
      <c r="Q14" s="26"/>
      <c r="R14" s="178"/>
      <c r="S14" s="178"/>
      <c r="T14" s="178"/>
      <c r="U14" s="179"/>
      <c r="V14" s="179"/>
      <c r="W14" s="179"/>
      <c r="X14" s="179"/>
      <c r="Y14" s="180"/>
      <c r="Z14" s="180"/>
      <c r="AA14" s="181"/>
      <c r="AB14" s="23"/>
      <c r="AC14" s="2"/>
      <c r="AD14" s="2"/>
    </row>
    <row r="15" ht="15.0" customHeight="1">
      <c r="A15" s="44"/>
      <c r="B15" s="26"/>
      <c r="C15" s="26"/>
      <c r="D15" s="26"/>
      <c r="E15" s="26"/>
      <c r="F15" s="26"/>
      <c r="G15" s="26"/>
      <c r="H15" s="26"/>
      <c r="I15" s="26"/>
      <c r="J15" s="7"/>
      <c r="K15" s="7"/>
      <c r="L15" s="7"/>
      <c r="M15" s="7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56"/>
      <c r="AB15" s="2"/>
      <c r="AC15" s="2"/>
      <c r="AD15" s="2"/>
    </row>
    <row r="16" ht="19.5" customHeight="1">
      <c r="A16" s="44"/>
      <c r="B16" s="26"/>
      <c r="C16" s="26"/>
      <c r="D16" s="57">
        <v>0.45</v>
      </c>
      <c r="E16" s="57">
        <v>0.65</v>
      </c>
      <c r="F16" s="57">
        <v>0.85</v>
      </c>
      <c r="G16" s="26"/>
      <c r="H16" s="58"/>
      <c r="I16" s="59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56"/>
      <c r="AB16" s="2"/>
      <c r="AC16" s="2"/>
      <c r="AD16" s="2"/>
    </row>
    <row r="17" ht="21.75" customHeight="1">
      <c r="A17" s="60" t="s">
        <v>12</v>
      </c>
      <c r="B17" s="34"/>
      <c r="C17" s="61" t="s">
        <v>13</v>
      </c>
      <c r="D17" s="61" t="s">
        <v>14</v>
      </c>
      <c r="E17" s="61" t="s">
        <v>15</v>
      </c>
      <c r="F17" s="61" t="s">
        <v>16</v>
      </c>
      <c r="G17" s="61" t="s">
        <v>17</v>
      </c>
      <c r="H17" s="61" t="s">
        <v>18</v>
      </c>
      <c r="I17" s="61" t="s">
        <v>19</v>
      </c>
      <c r="J17" s="61" t="s">
        <v>20</v>
      </c>
      <c r="K17" s="61" t="s">
        <v>21</v>
      </c>
      <c r="L17" s="61" t="s">
        <v>22</v>
      </c>
      <c r="M17" s="61" t="s">
        <v>23</v>
      </c>
      <c r="N17" s="61" t="s">
        <v>24</v>
      </c>
      <c r="O17" s="61" t="s">
        <v>25</v>
      </c>
      <c r="P17" s="61" t="s">
        <v>26</v>
      </c>
      <c r="Q17" s="61" t="s">
        <v>27</v>
      </c>
      <c r="R17" s="61" t="s">
        <v>28</v>
      </c>
      <c r="S17" s="61" t="s">
        <v>29</v>
      </c>
      <c r="T17" s="61" t="s">
        <v>30</v>
      </c>
      <c r="U17" s="61" t="s">
        <v>31</v>
      </c>
      <c r="V17" s="61" t="s">
        <v>32</v>
      </c>
      <c r="W17" s="61" t="s">
        <v>33</v>
      </c>
      <c r="X17" s="61" t="s">
        <v>34</v>
      </c>
      <c r="Y17" s="61" t="s">
        <v>35</v>
      </c>
      <c r="Z17" s="61" t="s">
        <v>36</v>
      </c>
      <c r="AA17" s="62" t="s">
        <v>37</v>
      </c>
      <c r="AB17" s="63"/>
      <c r="AC17" s="63"/>
      <c r="AD17" s="63"/>
    </row>
    <row r="18" ht="4.5" customHeight="1">
      <c r="A18" s="64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4"/>
      <c r="AB18" s="2"/>
      <c r="AC18" s="2"/>
      <c r="AD18" s="2"/>
    </row>
    <row r="19" ht="21.0" customHeight="1">
      <c r="A19" s="182" t="s">
        <v>63</v>
      </c>
      <c r="B19" s="10"/>
      <c r="C19" s="183" t="s">
        <v>5</v>
      </c>
      <c r="D19" s="184" t="s">
        <v>43</v>
      </c>
      <c r="E19" s="184" t="s">
        <v>43</v>
      </c>
      <c r="F19" s="184" t="s">
        <v>43</v>
      </c>
      <c r="G19" s="184" t="s">
        <v>43</v>
      </c>
      <c r="H19" s="184" t="s">
        <v>43</v>
      </c>
      <c r="I19" s="184" t="s">
        <v>43</v>
      </c>
      <c r="J19" s="184" t="s">
        <v>43</v>
      </c>
      <c r="K19" s="184" t="s">
        <v>43</v>
      </c>
      <c r="L19" s="184" t="s">
        <v>43</v>
      </c>
      <c r="M19" s="184" t="s">
        <v>43</v>
      </c>
      <c r="N19" s="184" t="s">
        <v>43</v>
      </c>
      <c r="O19" s="184" t="s">
        <v>43</v>
      </c>
      <c r="P19" s="184" t="s">
        <v>43</v>
      </c>
      <c r="Q19" s="184" t="s">
        <v>43</v>
      </c>
      <c r="R19" s="184" t="s">
        <v>43</v>
      </c>
      <c r="S19" s="185">
        <f>4430+1400*4</f>
        <v>10030</v>
      </c>
      <c r="T19" s="184" t="s">
        <v>43</v>
      </c>
      <c r="U19" s="184" t="s">
        <v>43</v>
      </c>
      <c r="V19" s="184" t="s">
        <v>43</v>
      </c>
      <c r="W19" s="184" t="s">
        <v>43</v>
      </c>
      <c r="X19" s="184" t="s">
        <v>43</v>
      </c>
      <c r="Y19" s="184" t="s">
        <v>43</v>
      </c>
      <c r="Z19" s="184" t="s">
        <v>43</v>
      </c>
      <c r="AA19" s="184" t="s">
        <v>43</v>
      </c>
      <c r="AB19" s="112"/>
      <c r="AC19" s="112"/>
      <c r="AD19" s="113"/>
    </row>
    <row r="20" ht="21.0" customHeight="1">
      <c r="A20" s="24"/>
      <c r="B20" s="6"/>
      <c r="C20" s="186" t="s">
        <v>40</v>
      </c>
      <c r="D20" s="187" t="s">
        <v>43</v>
      </c>
      <c r="E20" s="187" t="s">
        <v>43</v>
      </c>
      <c r="F20" s="187" t="s">
        <v>43</v>
      </c>
      <c r="G20" s="187" t="s">
        <v>43</v>
      </c>
      <c r="H20" s="187" t="s">
        <v>43</v>
      </c>
      <c r="I20" s="187" t="s">
        <v>43</v>
      </c>
      <c r="J20" s="187" t="s">
        <v>43</v>
      </c>
      <c r="K20" s="187" t="s">
        <v>43</v>
      </c>
      <c r="L20" s="187" t="s">
        <v>43</v>
      </c>
      <c r="M20" s="187" t="s">
        <v>43</v>
      </c>
      <c r="N20" s="187" t="s">
        <v>43</v>
      </c>
      <c r="O20" s="187" t="s">
        <v>43</v>
      </c>
      <c r="P20" s="187" t="s">
        <v>43</v>
      </c>
      <c r="Q20" s="187" t="s">
        <v>43</v>
      </c>
      <c r="R20" s="187" t="s">
        <v>43</v>
      </c>
      <c r="S20" s="188">
        <f>4430+970*4</f>
        <v>8310</v>
      </c>
      <c r="T20" s="187" t="s">
        <v>43</v>
      </c>
      <c r="U20" s="187" t="s">
        <v>43</v>
      </c>
      <c r="V20" s="187" t="s">
        <v>43</v>
      </c>
      <c r="W20" s="187" t="s">
        <v>43</v>
      </c>
      <c r="X20" s="187" t="s">
        <v>43</v>
      </c>
      <c r="Y20" s="187" t="s">
        <v>43</v>
      </c>
      <c r="Z20" s="187" t="s">
        <v>43</v>
      </c>
      <c r="AA20" s="187" t="s">
        <v>43</v>
      </c>
      <c r="AB20" s="112"/>
      <c r="AC20" s="112"/>
      <c r="AD20" s="113"/>
    </row>
    <row r="21" ht="21.0" customHeight="1">
      <c r="A21" s="24"/>
      <c r="B21" s="6"/>
      <c r="C21" s="189" t="s">
        <v>7</v>
      </c>
      <c r="D21" s="190" t="s">
        <v>43</v>
      </c>
      <c r="E21" s="190" t="s">
        <v>43</v>
      </c>
      <c r="F21" s="190" t="s">
        <v>43</v>
      </c>
      <c r="G21" s="190" t="s">
        <v>43</v>
      </c>
      <c r="H21" s="190" t="s">
        <v>43</v>
      </c>
      <c r="I21" s="190" t="s">
        <v>43</v>
      </c>
      <c r="J21" s="190" t="s">
        <v>43</v>
      </c>
      <c r="K21" s="190" t="s">
        <v>43</v>
      </c>
      <c r="L21" s="190" t="s">
        <v>43</v>
      </c>
      <c r="M21" s="190" t="s">
        <v>43</v>
      </c>
      <c r="N21" s="190" t="s">
        <v>43</v>
      </c>
      <c r="O21" s="190" t="s">
        <v>43</v>
      </c>
      <c r="P21" s="190" t="s">
        <v>43</v>
      </c>
      <c r="Q21" s="190" t="s">
        <v>43</v>
      </c>
      <c r="R21" s="190" t="s">
        <v>43</v>
      </c>
      <c r="S21" s="191">
        <f>4430+810*4</f>
        <v>7670</v>
      </c>
      <c r="T21" s="190" t="s">
        <v>43</v>
      </c>
      <c r="U21" s="190" t="s">
        <v>43</v>
      </c>
      <c r="V21" s="190" t="s">
        <v>43</v>
      </c>
      <c r="W21" s="190" t="s">
        <v>43</v>
      </c>
      <c r="X21" s="190" t="s">
        <v>43</v>
      </c>
      <c r="Y21" s="190" t="s">
        <v>43</v>
      </c>
      <c r="Z21" s="190" t="s">
        <v>43</v>
      </c>
      <c r="AA21" s="190" t="s">
        <v>43</v>
      </c>
      <c r="AB21" s="112"/>
      <c r="AC21" s="112"/>
      <c r="AD21" s="113"/>
    </row>
    <row r="22" ht="21.0" customHeight="1">
      <c r="A22" s="24"/>
      <c r="B22" s="6"/>
      <c r="C22" s="183" t="s">
        <v>9</v>
      </c>
      <c r="D22" s="184" t="s">
        <v>43</v>
      </c>
      <c r="E22" s="184" t="s">
        <v>43</v>
      </c>
      <c r="F22" s="184" t="s">
        <v>43</v>
      </c>
      <c r="G22" s="184" t="s">
        <v>43</v>
      </c>
      <c r="H22" s="184" t="s">
        <v>43</v>
      </c>
      <c r="I22" s="184" t="s">
        <v>43</v>
      </c>
      <c r="J22" s="184" t="s">
        <v>43</v>
      </c>
      <c r="K22" s="184" t="s">
        <v>43</v>
      </c>
      <c r="L22" s="184" t="s">
        <v>43</v>
      </c>
      <c r="M22" s="184" t="s">
        <v>43</v>
      </c>
      <c r="N22" s="184" t="s">
        <v>43</v>
      </c>
      <c r="O22" s="184" t="s">
        <v>43</v>
      </c>
      <c r="P22" s="184" t="s">
        <v>43</v>
      </c>
      <c r="Q22" s="184" t="s">
        <v>43</v>
      </c>
      <c r="R22" s="184" t="s">
        <v>43</v>
      </c>
      <c r="S22" s="185">
        <f>4430+1690*4</f>
        <v>11190</v>
      </c>
      <c r="T22" s="184" t="s">
        <v>43</v>
      </c>
      <c r="U22" s="184" t="s">
        <v>43</v>
      </c>
      <c r="V22" s="184" t="s">
        <v>43</v>
      </c>
      <c r="W22" s="184" t="s">
        <v>43</v>
      </c>
      <c r="X22" s="184" t="s">
        <v>43</v>
      </c>
      <c r="Y22" s="184" t="s">
        <v>43</v>
      </c>
      <c r="Z22" s="184" t="s">
        <v>43</v>
      </c>
      <c r="AA22" s="184" t="s">
        <v>43</v>
      </c>
      <c r="AB22" s="112"/>
      <c r="AC22" s="112"/>
      <c r="AD22" s="113"/>
    </row>
    <row r="23" ht="21.0" customHeight="1">
      <c r="A23" s="24"/>
      <c r="B23" s="6"/>
      <c r="C23" s="186" t="s">
        <v>41</v>
      </c>
      <c r="D23" s="187" t="s">
        <v>43</v>
      </c>
      <c r="E23" s="187" t="s">
        <v>43</v>
      </c>
      <c r="F23" s="187" t="s">
        <v>43</v>
      </c>
      <c r="G23" s="187" t="s">
        <v>43</v>
      </c>
      <c r="H23" s="187" t="s">
        <v>43</v>
      </c>
      <c r="I23" s="187" t="s">
        <v>43</v>
      </c>
      <c r="J23" s="187" t="s">
        <v>43</v>
      </c>
      <c r="K23" s="187" t="s">
        <v>43</v>
      </c>
      <c r="L23" s="187" t="s">
        <v>43</v>
      </c>
      <c r="M23" s="187" t="s">
        <v>43</v>
      </c>
      <c r="N23" s="187" t="s">
        <v>43</v>
      </c>
      <c r="O23" s="187" t="s">
        <v>43</v>
      </c>
      <c r="P23" s="187" t="s">
        <v>43</v>
      </c>
      <c r="Q23" s="187" t="s">
        <v>43</v>
      </c>
      <c r="R23" s="187" t="s">
        <v>43</v>
      </c>
      <c r="S23" s="188">
        <f>4430+1100*4</f>
        <v>8830</v>
      </c>
      <c r="T23" s="187" t="s">
        <v>43</v>
      </c>
      <c r="U23" s="187" t="s">
        <v>43</v>
      </c>
      <c r="V23" s="187" t="s">
        <v>43</v>
      </c>
      <c r="W23" s="187" t="s">
        <v>43</v>
      </c>
      <c r="X23" s="187" t="s">
        <v>43</v>
      </c>
      <c r="Y23" s="187" t="s">
        <v>43</v>
      </c>
      <c r="Z23" s="187" t="s">
        <v>43</v>
      </c>
      <c r="AA23" s="187" t="s">
        <v>43</v>
      </c>
      <c r="AB23" s="112"/>
      <c r="AC23" s="112"/>
      <c r="AD23" s="113"/>
    </row>
    <row r="24" ht="21.0" customHeight="1">
      <c r="A24" s="27"/>
      <c r="B24" s="29"/>
      <c r="C24" s="189" t="s">
        <v>11</v>
      </c>
      <c r="D24" s="190" t="s">
        <v>43</v>
      </c>
      <c r="E24" s="190" t="s">
        <v>43</v>
      </c>
      <c r="F24" s="190" t="s">
        <v>43</v>
      </c>
      <c r="G24" s="190" t="s">
        <v>43</v>
      </c>
      <c r="H24" s="190" t="s">
        <v>43</v>
      </c>
      <c r="I24" s="190" t="s">
        <v>43</v>
      </c>
      <c r="J24" s="190" t="s">
        <v>43</v>
      </c>
      <c r="K24" s="190" t="s">
        <v>43</v>
      </c>
      <c r="L24" s="190" t="s">
        <v>43</v>
      </c>
      <c r="M24" s="190" t="s">
        <v>43</v>
      </c>
      <c r="N24" s="190" t="s">
        <v>43</v>
      </c>
      <c r="O24" s="190" t="s">
        <v>43</v>
      </c>
      <c r="P24" s="190" t="s">
        <v>43</v>
      </c>
      <c r="Q24" s="190" t="s">
        <v>43</v>
      </c>
      <c r="R24" s="190" t="s">
        <v>43</v>
      </c>
      <c r="S24" s="191">
        <f>4430+890*4</f>
        <v>7990</v>
      </c>
      <c r="T24" s="190" t="s">
        <v>43</v>
      </c>
      <c r="U24" s="190" t="s">
        <v>43</v>
      </c>
      <c r="V24" s="190" t="s">
        <v>43</v>
      </c>
      <c r="W24" s="190" t="s">
        <v>43</v>
      </c>
      <c r="X24" s="190" t="s">
        <v>43</v>
      </c>
      <c r="Y24" s="190" t="s">
        <v>43</v>
      </c>
      <c r="Z24" s="190" t="s">
        <v>43</v>
      </c>
      <c r="AA24" s="190" t="s">
        <v>43</v>
      </c>
      <c r="AB24" s="112"/>
      <c r="AC24" s="112"/>
      <c r="AD24" s="113"/>
    </row>
    <row r="25" ht="21.0" customHeight="1">
      <c r="A25" s="192" t="s">
        <v>64</v>
      </c>
      <c r="B25" s="10"/>
      <c r="C25" s="183" t="s">
        <v>5</v>
      </c>
      <c r="D25" s="184" t="s">
        <v>43</v>
      </c>
      <c r="E25" s="184" t="s">
        <v>43</v>
      </c>
      <c r="F25" s="184" t="s">
        <v>43</v>
      </c>
      <c r="G25" s="184" t="s">
        <v>43</v>
      </c>
      <c r="H25" s="184" t="s">
        <v>43</v>
      </c>
      <c r="I25" s="184" t="s">
        <v>43</v>
      </c>
      <c r="J25" s="184" t="s">
        <v>43</v>
      </c>
      <c r="K25" s="184" t="s">
        <v>43</v>
      </c>
      <c r="L25" s="184" t="s">
        <v>43</v>
      </c>
      <c r="M25" s="184" t="s">
        <v>43</v>
      </c>
      <c r="N25" s="184" t="s">
        <v>43</v>
      </c>
      <c r="O25" s="184" t="s">
        <v>43</v>
      </c>
      <c r="P25" s="184" t="s">
        <v>43</v>
      </c>
      <c r="Q25" s="184" t="s">
        <v>43</v>
      </c>
      <c r="R25" s="184" t="s">
        <v>43</v>
      </c>
      <c r="S25" s="185">
        <f>4260+1400*4</f>
        <v>9860</v>
      </c>
      <c r="T25" s="184" t="s">
        <v>43</v>
      </c>
      <c r="U25" s="184" t="s">
        <v>43</v>
      </c>
      <c r="V25" s="184" t="s">
        <v>43</v>
      </c>
      <c r="W25" s="184" t="s">
        <v>43</v>
      </c>
      <c r="X25" s="184" t="s">
        <v>43</v>
      </c>
      <c r="Y25" s="184" t="s">
        <v>43</v>
      </c>
      <c r="Z25" s="184" t="s">
        <v>43</v>
      </c>
      <c r="AA25" s="184" t="s">
        <v>43</v>
      </c>
      <c r="AB25" s="112"/>
      <c r="AC25" s="112"/>
      <c r="AD25" s="113"/>
    </row>
    <row r="26" ht="21.0" customHeight="1">
      <c r="A26" s="24"/>
      <c r="B26" s="6"/>
      <c r="C26" s="186" t="s">
        <v>40</v>
      </c>
      <c r="D26" s="187" t="s">
        <v>43</v>
      </c>
      <c r="E26" s="187" t="s">
        <v>43</v>
      </c>
      <c r="F26" s="187" t="s">
        <v>43</v>
      </c>
      <c r="G26" s="187" t="s">
        <v>43</v>
      </c>
      <c r="H26" s="187" t="s">
        <v>43</v>
      </c>
      <c r="I26" s="187" t="s">
        <v>43</v>
      </c>
      <c r="J26" s="187" t="s">
        <v>43</v>
      </c>
      <c r="K26" s="187" t="s">
        <v>43</v>
      </c>
      <c r="L26" s="187" t="s">
        <v>43</v>
      </c>
      <c r="M26" s="187" t="s">
        <v>43</v>
      </c>
      <c r="N26" s="187" t="s">
        <v>43</v>
      </c>
      <c r="O26" s="187" t="s">
        <v>43</v>
      </c>
      <c r="P26" s="187" t="s">
        <v>43</v>
      </c>
      <c r="Q26" s="187" t="s">
        <v>43</v>
      </c>
      <c r="R26" s="187" t="s">
        <v>43</v>
      </c>
      <c r="S26" s="188">
        <f>4260+970*4</f>
        <v>8140</v>
      </c>
      <c r="T26" s="187" t="s">
        <v>43</v>
      </c>
      <c r="U26" s="187" t="s">
        <v>43</v>
      </c>
      <c r="V26" s="187" t="s">
        <v>43</v>
      </c>
      <c r="W26" s="187" t="s">
        <v>43</v>
      </c>
      <c r="X26" s="187" t="s">
        <v>43</v>
      </c>
      <c r="Y26" s="187" t="s">
        <v>43</v>
      </c>
      <c r="Z26" s="187" t="s">
        <v>43</v>
      </c>
      <c r="AA26" s="187" t="s">
        <v>43</v>
      </c>
      <c r="AB26" s="112"/>
      <c r="AC26" s="112"/>
      <c r="AD26" s="113"/>
    </row>
    <row r="27" ht="21.0" customHeight="1">
      <c r="A27" s="24"/>
      <c r="B27" s="6"/>
      <c r="C27" s="189" t="s">
        <v>7</v>
      </c>
      <c r="D27" s="190" t="s">
        <v>43</v>
      </c>
      <c r="E27" s="190" t="s">
        <v>43</v>
      </c>
      <c r="F27" s="190" t="s">
        <v>43</v>
      </c>
      <c r="G27" s="190" t="s">
        <v>43</v>
      </c>
      <c r="H27" s="190" t="s">
        <v>43</v>
      </c>
      <c r="I27" s="190" t="s">
        <v>43</v>
      </c>
      <c r="J27" s="190" t="s">
        <v>43</v>
      </c>
      <c r="K27" s="190" t="s">
        <v>43</v>
      </c>
      <c r="L27" s="190" t="s">
        <v>43</v>
      </c>
      <c r="M27" s="190" t="s">
        <v>43</v>
      </c>
      <c r="N27" s="190" t="s">
        <v>43</v>
      </c>
      <c r="O27" s="190" t="s">
        <v>43</v>
      </c>
      <c r="P27" s="190" t="s">
        <v>43</v>
      </c>
      <c r="Q27" s="190" t="s">
        <v>43</v>
      </c>
      <c r="R27" s="190" t="s">
        <v>43</v>
      </c>
      <c r="S27" s="191">
        <f>4260+810*4</f>
        <v>7500</v>
      </c>
      <c r="T27" s="190" t="s">
        <v>43</v>
      </c>
      <c r="U27" s="190" t="s">
        <v>43</v>
      </c>
      <c r="V27" s="190" t="s">
        <v>43</v>
      </c>
      <c r="W27" s="190" t="s">
        <v>43</v>
      </c>
      <c r="X27" s="190" t="s">
        <v>43</v>
      </c>
      <c r="Y27" s="190" t="s">
        <v>43</v>
      </c>
      <c r="Z27" s="190" t="s">
        <v>43</v>
      </c>
      <c r="AA27" s="190" t="s">
        <v>43</v>
      </c>
      <c r="AB27" s="112"/>
      <c r="AC27" s="112"/>
      <c r="AD27" s="113"/>
    </row>
    <row r="28" ht="21.0" customHeight="1">
      <c r="A28" s="24"/>
      <c r="B28" s="6"/>
      <c r="C28" s="183" t="s">
        <v>9</v>
      </c>
      <c r="D28" s="184" t="s">
        <v>43</v>
      </c>
      <c r="E28" s="184" t="s">
        <v>43</v>
      </c>
      <c r="F28" s="184" t="s">
        <v>43</v>
      </c>
      <c r="G28" s="184" t="s">
        <v>43</v>
      </c>
      <c r="H28" s="184" t="s">
        <v>43</v>
      </c>
      <c r="I28" s="184" t="s">
        <v>43</v>
      </c>
      <c r="J28" s="184" t="s">
        <v>43</v>
      </c>
      <c r="K28" s="184" t="s">
        <v>43</v>
      </c>
      <c r="L28" s="184" t="s">
        <v>43</v>
      </c>
      <c r="M28" s="184" t="s">
        <v>43</v>
      </c>
      <c r="N28" s="184" t="s">
        <v>43</v>
      </c>
      <c r="O28" s="184" t="s">
        <v>43</v>
      </c>
      <c r="P28" s="184" t="s">
        <v>43</v>
      </c>
      <c r="Q28" s="184" t="s">
        <v>43</v>
      </c>
      <c r="R28" s="184" t="s">
        <v>43</v>
      </c>
      <c r="S28" s="185">
        <f>4260+1690*4</f>
        <v>11020</v>
      </c>
      <c r="T28" s="184" t="s">
        <v>43</v>
      </c>
      <c r="U28" s="184" t="s">
        <v>43</v>
      </c>
      <c r="V28" s="184" t="s">
        <v>43</v>
      </c>
      <c r="W28" s="184" t="s">
        <v>43</v>
      </c>
      <c r="X28" s="184" t="s">
        <v>43</v>
      </c>
      <c r="Y28" s="184" t="s">
        <v>43</v>
      </c>
      <c r="Z28" s="184" t="s">
        <v>43</v>
      </c>
      <c r="AA28" s="184" t="s">
        <v>43</v>
      </c>
      <c r="AB28" s="112"/>
      <c r="AC28" s="112"/>
      <c r="AD28" s="113"/>
    </row>
    <row r="29" ht="21.0" customHeight="1">
      <c r="A29" s="24"/>
      <c r="B29" s="6"/>
      <c r="C29" s="186" t="s">
        <v>41</v>
      </c>
      <c r="D29" s="187" t="s">
        <v>43</v>
      </c>
      <c r="E29" s="187" t="s">
        <v>43</v>
      </c>
      <c r="F29" s="187" t="s">
        <v>43</v>
      </c>
      <c r="G29" s="187" t="s">
        <v>43</v>
      </c>
      <c r="H29" s="187" t="s">
        <v>43</v>
      </c>
      <c r="I29" s="187" t="s">
        <v>43</v>
      </c>
      <c r="J29" s="187" t="s">
        <v>43</v>
      </c>
      <c r="K29" s="187" t="s">
        <v>43</v>
      </c>
      <c r="L29" s="187" t="s">
        <v>43</v>
      </c>
      <c r="M29" s="187" t="s">
        <v>43</v>
      </c>
      <c r="N29" s="187" t="s">
        <v>43</v>
      </c>
      <c r="O29" s="187" t="s">
        <v>43</v>
      </c>
      <c r="P29" s="187" t="s">
        <v>43</v>
      </c>
      <c r="Q29" s="187" t="s">
        <v>43</v>
      </c>
      <c r="R29" s="187" t="s">
        <v>43</v>
      </c>
      <c r="S29" s="188">
        <f>4260+1100*4</f>
        <v>8660</v>
      </c>
      <c r="T29" s="187" t="s">
        <v>43</v>
      </c>
      <c r="U29" s="187" t="s">
        <v>43</v>
      </c>
      <c r="V29" s="187" t="s">
        <v>43</v>
      </c>
      <c r="W29" s="187" t="s">
        <v>43</v>
      </c>
      <c r="X29" s="187" t="s">
        <v>43</v>
      </c>
      <c r="Y29" s="187" t="s">
        <v>43</v>
      </c>
      <c r="Z29" s="187" t="s">
        <v>43</v>
      </c>
      <c r="AA29" s="187" t="s">
        <v>43</v>
      </c>
      <c r="AB29" s="112"/>
      <c r="AC29" s="112"/>
      <c r="AD29" s="113"/>
    </row>
    <row r="30" ht="21.0" customHeight="1">
      <c r="A30" s="27"/>
      <c r="B30" s="29"/>
      <c r="C30" s="189" t="s">
        <v>11</v>
      </c>
      <c r="D30" s="190" t="s">
        <v>43</v>
      </c>
      <c r="E30" s="190" t="s">
        <v>43</v>
      </c>
      <c r="F30" s="190" t="s">
        <v>43</v>
      </c>
      <c r="G30" s="190" t="s">
        <v>43</v>
      </c>
      <c r="H30" s="190" t="s">
        <v>43</v>
      </c>
      <c r="I30" s="190" t="s">
        <v>43</v>
      </c>
      <c r="J30" s="190" t="s">
        <v>43</v>
      </c>
      <c r="K30" s="190" t="s">
        <v>43</v>
      </c>
      <c r="L30" s="190" t="s">
        <v>43</v>
      </c>
      <c r="M30" s="190" t="s">
        <v>43</v>
      </c>
      <c r="N30" s="190" t="s">
        <v>43</v>
      </c>
      <c r="O30" s="190" t="s">
        <v>43</v>
      </c>
      <c r="P30" s="190" t="s">
        <v>43</v>
      </c>
      <c r="Q30" s="190" t="s">
        <v>43</v>
      </c>
      <c r="R30" s="190" t="s">
        <v>43</v>
      </c>
      <c r="S30" s="191">
        <f>4260+890*4</f>
        <v>7820</v>
      </c>
      <c r="T30" s="190" t="s">
        <v>43</v>
      </c>
      <c r="U30" s="190" t="s">
        <v>43</v>
      </c>
      <c r="V30" s="190" t="s">
        <v>43</v>
      </c>
      <c r="W30" s="190" t="s">
        <v>43</v>
      </c>
      <c r="X30" s="190" t="s">
        <v>43</v>
      </c>
      <c r="Y30" s="190" t="s">
        <v>43</v>
      </c>
      <c r="Z30" s="190" t="s">
        <v>43</v>
      </c>
      <c r="AA30" s="190" t="s">
        <v>43</v>
      </c>
      <c r="AB30" s="112"/>
      <c r="AC30" s="112"/>
      <c r="AD30" s="113"/>
    </row>
    <row r="31" ht="15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0" customHeight="1">
      <c r="A32" s="2" t="s">
        <v>45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8.75" customHeight="1">
      <c r="A34" s="193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</row>
    <row r="35" ht="18.75" customHeight="1">
      <c r="A35" s="193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</row>
    <row r="36" ht="18.75" customHeight="1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</row>
    <row r="37" ht="18.75" customHeight="1">
      <c r="A37" s="193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</row>
    <row r="38" ht="8.25" customHeight="1">
      <c r="A38" s="193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</row>
    <row r="39" ht="18.75" customHeight="1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</row>
    <row r="40" ht="18.75" customHeight="1">
      <c r="A40" s="193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</row>
    <row r="41" ht="18.75" customHeight="1">
      <c r="A41" s="193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</row>
    <row r="42" ht="18.75" customHeight="1">
      <c r="A42" s="193"/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</row>
    <row r="43" ht="18.75" customHeight="1">
      <c r="A43" s="193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</row>
    <row r="44" ht="18.75" customHeight="1">
      <c r="A44" s="193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</row>
    <row r="45" ht="18.75" customHeight="1">
      <c r="A45" s="193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</row>
    <row r="46" ht="18.75" customHeight="1">
      <c r="A46" s="193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</row>
    <row r="47" ht="18.75" customHeight="1">
      <c r="A47" s="193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</row>
    <row r="48" ht="18.75" customHeight="1">
      <c r="A48" s="193"/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</row>
    <row r="49" ht="18.75" customHeight="1">
      <c r="A49" s="193"/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</row>
    <row r="50" ht="18.75" customHeight="1">
      <c r="A50" s="193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</row>
    <row r="51" ht="18.75" customHeight="1">
      <c r="A51" s="193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</row>
    <row r="52" ht="18.75" customHeight="1">
      <c r="A52" s="193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</row>
    <row r="53" ht="18.75" customHeight="1">
      <c r="A53" s="193"/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</row>
    <row r="54" ht="18.75" customHeight="1">
      <c r="A54" s="193"/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</row>
    <row r="55" ht="18.75" customHeight="1">
      <c r="A55" s="193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</row>
    <row r="56" ht="18.75" customHeight="1">
      <c r="A56" s="193"/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</row>
    <row r="57" ht="18.75" customHeight="1">
      <c r="A57" s="193"/>
      <c r="B57" s="193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</row>
    <row r="58" ht="18.75" customHeight="1">
      <c r="A58" s="193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</row>
    <row r="59" ht="18.75" customHeight="1">
      <c r="A59" s="193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</row>
    <row r="60" ht="18.75" customHeight="1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</row>
    <row r="61" ht="18.75" customHeight="1">
      <c r="A61" s="193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</row>
    <row r="62" ht="18.75" customHeight="1">
      <c r="A62" s="193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</row>
    <row r="63" ht="18.75" customHeight="1">
      <c r="A63" s="193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</row>
    <row r="64" ht="18.75" customHeight="1">
      <c r="A64" s="193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</row>
    <row r="65" ht="18.75" customHeight="1">
      <c r="A65" s="193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</row>
    <row r="66" ht="18.75" customHeight="1">
      <c r="A66" s="193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</row>
    <row r="67" ht="18.75" customHeight="1">
      <c r="A67" s="193"/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</row>
    <row r="68" ht="18.75" customHeight="1">
      <c r="A68" s="193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</row>
    <row r="69" ht="18.75" customHeight="1">
      <c r="A69" s="193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</row>
    <row r="70" ht="18.75" customHeight="1">
      <c r="A70" s="193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</row>
    <row r="71" ht="18.75" customHeight="1">
      <c r="A71" s="193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</row>
    <row r="72" ht="18.75" customHeight="1">
      <c r="A72" s="193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</row>
    <row r="73" ht="18.75" customHeight="1">
      <c r="A73" s="193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</row>
    <row r="74" ht="18.75" customHeight="1">
      <c r="A74" s="193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</row>
    <row r="75" ht="18.75" customHeight="1">
      <c r="A75" s="193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</row>
    <row r="76" ht="18.75" customHeight="1">
      <c r="A76" s="193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</row>
    <row r="77" ht="18.75" customHeight="1">
      <c r="A77" s="193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</row>
    <row r="78" ht="18.75" customHeight="1">
      <c r="A78" s="193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</row>
    <row r="79" ht="18.75" customHeight="1">
      <c r="A79" s="193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</row>
    <row r="80" ht="18.75" customHeight="1">
      <c r="A80" s="193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</row>
    <row r="81" ht="18.75" customHeight="1">
      <c r="A81" s="193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</row>
    <row r="82" ht="18.75" customHeight="1">
      <c r="A82" s="193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</row>
    <row r="83" ht="18.75" customHeight="1">
      <c r="A83" s="193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</row>
    <row r="84" ht="18.75" customHeight="1">
      <c r="A84" s="193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</row>
    <row r="85" ht="18.75" customHeight="1">
      <c r="A85" s="193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</row>
    <row r="86" ht="18.75" customHeight="1">
      <c r="A86" s="193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</row>
    <row r="87" ht="18.75" customHeight="1">
      <c r="A87" s="193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</row>
    <row r="88" ht="18.75" customHeight="1">
      <c r="A88" s="193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</row>
    <row r="89" ht="18.75" customHeight="1">
      <c r="A89" s="193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</row>
    <row r="90" ht="18.75" customHeight="1">
      <c r="A90" s="193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</row>
    <row r="91" ht="18.75" customHeight="1">
      <c r="A91" s="193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</row>
    <row r="92" ht="18.75" customHeight="1">
      <c r="A92" s="193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</row>
    <row r="93" ht="18.75" customHeight="1">
      <c r="A93" s="193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</row>
    <row r="94" ht="18.75" customHeight="1">
      <c r="A94" s="193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</row>
    <row r="95" ht="18.75" customHeight="1">
      <c r="A95" s="193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</row>
    <row r="96" ht="18.75" customHeight="1">
      <c r="A96" s="193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</row>
    <row r="97" ht="18.75" customHeight="1">
      <c r="A97" s="193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</row>
    <row r="98" ht="18.75" customHeight="1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</row>
    <row r="99" ht="18.75" customHeight="1">
      <c r="A99" s="19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</row>
    <row r="100" ht="18.75" customHeight="1">
      <c r="A100" s="193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</row>
    <row r="101" ht="18.75" customHeight="1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</row>
    <row r="102" ht="18.75" customHeight="1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</row>
    <row r="103" ht="18.75" customHeight="1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</row>
    <row r="104" ht="18.75" customHeight="1">
      <c r="A104" s="193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</row>
    <row r="105" ht="18.75" customHeight="1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</row>
    <row r="106" ht="18.75" customHeight="1">
      <c r="A106" s="193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</row>
    <row r="107" ht="18.75" customHeight="1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</row>
    <row r="108" ht="18.75" customHeight="1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</row>
    <row r="109" ht="18.75" customHeight="1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</row>
    <row r="110" ht="18.75" customHeight="1">
      <c r="A110" s="193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</row>
    <row r="111" ht="18.75" customHeight="1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</row>
    <row r="112" ht="18.75" customHeight="1">
      <c r="A112" s="193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</row>
    <row r="113" ht="18.75" customHeight="1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</row>
    <row r="114" ht="18.75" customHeight="1">
      <c r="A114" s="193"/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  <c r="AC114" s="193"/>
      <c r="AD114" s="193"/>
    </row>
    <row r="115" ht="18.75" customHeight="1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  <c r="AD115" s="193"/>
    </row>
    <row r="116" ht="18.75" customHeight="1">
      <c r="A116" s="193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</row>
    <row r="117" ht="18.75" customHeight="1">
      <c r="A117" s="193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</row>
    <row r="118" ht="18.75" customHeight="1">
      <c r="A118" s="193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  <c r="AD118" s="193"/>
    </row>
    <row r="119" ht="18.75" customHeight="1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</row>
    <row r="120" ht="18.75" customHeight="1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</row>
    <row r="121" ht="18.75" customHeight="1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</row>
    <row r="122" ht="18.75" customHeight="1">
      <c r="A122" s="193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</row>
    <row r="123" ht="18.75" customHeight="1">
      <c r="A123" s="193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  <c r="AD123" s="193"/>
    </row>
    <row r="124" ht="18.75" customHeight="1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</row>
    <row r="125" ht="18.75" customHeight="1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</row>
    <row r="126" ht="18.75" customHeight="1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</row>
    <row r="127" ht="18.75" customHeight="1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  <c r="AB127" s="193"/>
      <c r="AC127" s="193"/>
      <c r="AD127" s="193"/>
    </row>
    <row r="128" ht="18.75" customHeight="1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  <c r="AB128" s="193"/>
      <c r="AC128" s="193"/>
      <c r="AD128" s="193"/>
    </row>
    <row r="129" ht="18.75" customHeight="1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193"/>
    </row>
    <row r="130" ht="18.75" customHeight="1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</row>
    <row r="131" ht="18.75" customHeight="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  <c r="AB131" s="193"/>
      <c r="AC131" s="193"/>
      <c r="AD131" s="193"/>
    </row>
    <row r="132" ht="18.75" customHeight="1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  <c r="AB132" s="193"/>
      <c r="AC132" s="193"/>
      <c r="AD132" s="193"/>
    </row>
    <row r="133" ht="18.75" customHeight="1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  <c r="AB133" s="193"/>
      <c r="AC133" s="193"/>
      <c r="AD133" s="193"/>
    </row>
    <row r="134" ht="18.75" customHeight="1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</row>
    <row r="135" ht="18.75" customHeight="1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  <c r="AB135" s="193"/>
      <c r="AC135" s="193"/>
      <c r="AD135" s="193"/>
    </row>
    <row r="136" ht="18.75" customHeight="1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  <c r="AB136" s="193"/>
      <c r="AC136" s="193"/>
      <c r="AD136" s="193"/>
    </row>
    <row r="137" ht="18.75" customHeight="1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  <c r="AB137" s="193"/>
      <c r="AC137" s="193"/>
      <c r="AD137" s="193"/>
    </row>
    <row r="138" ht="18.75" customHeight="1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  <c r="AB138" s="193"/>
      <c r="AC138" s="193"/>
      <c r="AD138" s="193"/>
    </row>
    <row r="139" ht="18.75" customHeight="1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  <c r="AB139" s="193"/>
      <c r="AC139" s="193"/>
      <c r="AD139" s="193"/>
    </row>
    <row r="140" ht="18.75" customHeight="1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  <c r="AB140" s="193"/>
      <c r="AC140" s="193"/>
      <c r="AD140" s="193"/>
    </row>
    <row r="141" ht="18.75" customHeight="1">
      <c r="A141" s="193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  <c r="AB141" s="193"/>
      <c r="AC141" s="193"/>
      <c r="AD141" s="193"/>
    </row>
    <row r="142" ht="18.75" customHeight="1">
      <c r="A142" s="193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  <c r="AB142" s="193"/>
      <c r="AC142" s="193"/>
      <c r="AD142" s="193"/>
    </row>
    <row r="143" ht="18.75" customHeight="1">
      <c r="A143" s="193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  <c r="AB143" s="193"/>
      <c r="AC143" s="193"/>
      <c r="AD143" s="193"/>
    </row>
    <row r="144" ht="18.75" customHeight="1">
      <c r="A144" s="193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  <c r="AB144" s="193"/>
      <c r="AC144" s="193"/>
      <c r="AD144" s="193"/>
    </row>
    <row r="145" ht="18.75" customHeight="1">
      <c r="A145" s="193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  <c r="AB145" s="193"/>
      <c r="AC145" s="193"/>
      <c r="AD145" s="193"/>
    </row>
    <row r="146" ht="18.75" customHeight="1">
      <c r="A146" s="193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  <c r="AB146" s="193"/>
      <c r="AC146" s="193"/>
      <c r="AD146" s="193"/>
    </row>
    <row r="147" ht="18.75" customHeight="1">
      <c r="A147" s="193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  <c r="AB147" s="193"/>
      <c r="AC147" s="193"/>
      <c r="AD147" s="193"/>
    </row>
    <row r="148" ht="18.75" customHeight="1">
      <c r="A148" s="19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  <c r="AB148" s="193"/>
      <c r="AC148" s="193"/>
      <c r="AD148" s="193"/>
    </row>
    <row r="149" ht="18.75" customHeight="1">
      <c r="A149" s="193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  <c r="AB149" s="193"/>
      <c r="AC149" s="193"/>
      <c r="AD149" s="193"/>
    </row>
    <row r="150" ht="18.75" customHeight="1">
      <c r="A150" s="193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  <c r="AB150" s="193"/>
      <c r="AC150" s="193"/>
      <c r="AD150" s="193"/>
    </row>
    <row r="151" ht="18.75" customHeight="1">
      <c r="A151" s="193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  <c r="AB151" s="193"/>
      <c r="AC151" s="193"/>
      <c r="AD151" s="193"/>
    </row>
    <row r="152" ht="18.75" customHeight="1">
      <c r="A152" s="193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  <c r="AB152" s="193"/>
      <c r="AC152" s="193"/>
      <c r="AD152" s="193"/>
    </row>
    <row r="153" ht="18.75" customHeight="1">
      <c r="A153" s="193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  <c r="AB153" s="193"/>
      <c r="AC153" s="193"/>
      <c r="AD153" s="193"/>
    </row>
    <row r="154" ht="18.75" customHeight="1">
      <c r="A154" s="193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  <c r="AB154" s="193"/>
      <c r="AC154" s="193"/>
      <c r="AD154" s="193"/>
    </row>
    <row r="155" ht="18.75" customHeight="1">
      <c r="A155" s="193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  <c r="AB155" s="193"/>
      <c r="AC155" s="193"/>
      <c r="AD155" s="193"/>
    </row>
    <row r="156" ht="18.75" customHeight="1">
      <c r="A156" s="19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  <c r="AB156" s="193"/>
      <c r="AC156" s="193"/>
      <c r="AD156" s="193"/>
    </row>
    <row r="157" ht="18.75" customHeight="1">
      <c r="A157" s="193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  <c r="AB157" s="193"/>
      <c r="AC157" s="193"/>
      <c r="AD157" s="193"/>
    </row>
    <row r="158" ht="18.75" customHeight="1">
      <c r="A158" s="193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  <c r="AB158" s="193"/>
      <c r="AC158" s="193"/>
      <c r="AD158" s="193"/>
    </row>
    <row r="159" ht="18.75" customHeight="1">
      <c r="A159" s="193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  <c r="AB159" s="193"/>
      <c r="AC159" s="193"/>
      <c r="AD159" s="193"/>
    </row>
    <row r="160" ht="18.75" customHeight="1">
      <c r="A160" s="193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  <c r="AB160" s="193"/>
      <c r="AC160" s="193"/>
      <c r="AD160" s="193"/>
    </row>
    <row r="161" ht="18.75" customHeight="1">
      <c r="A161" s="193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  <c r="AB161" s="193"/>
      <c r="AC161" s="193"/>
      <c r="AD161" s="193"/>
    </row>
    <row r="162" ht="18.75" customHeight="1">
      <c r="A162" s="193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  <c r="AB162" s="193"/>
      <c r="AC162" s="193"/>
      <c r="AD162" s="193"/>
    </row>
    <row r="163" ht="18.75" customHeight="1">
      <c r="A163" s="193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  <c r="AB163" s="193"/>
      <c r="AC163" s="193"/>
      <c r="AD163" s="193"/>
    </row>
    <row r="164" ht="18.75" customHeight="1">
      <c r="A164" s="193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  <c r="AB164" s="193"/>
      <c r="AC164" s="193"/>
      <c r="AD164" s="193"/>
    </row>
    <row r="165" ht="18.75" customHeight="1">
      <c r="A165" s="193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  <c r="AB165" s="193"/>
      <c r="AC165" s="193"/>
      <c r="AD165" s="193"/>
    </row>
    <row r="166" ht="18.75" customHeight="1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  <c r="AB166" s="193"/>
      <c r="AC166" s="193"/>
      <c r="AD166" s="193"/>
    </row>
    <row r="167" ht="18.75" customHeight="1">
      <c r="A167" s="193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  <c r="AB167" s="193"/>
      <c r="AC167" s="193"/>
      <c r="AD167" s="193"/>
    </row>
    <row r="168" ht="18.75" customHeight="1">
      <c r="A168" s="193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  <c r="AB168" s="193"/>
      <c r="AC168" s="193"/>
      <c r="AD168" s="193"/>
    </row>
    <row r="169" ht="18.75" customHeight="1">
      <c r="A169" s="193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  <c r="AB169" s="193"/>
      <c r="AC169" s="193"/>
      <c r="AD169" s="193"/>
    </row>
    <row r="170" ht="18.75" customHeight="1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  <c r="AB170" s="193"/>
      <c r="AC170" s="193"/>
      <c r="AD170" s="193"/>
    </row>
    <row r="171" ht="18.75" customHeight="1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  <c r="AB171" s="193"/>
      <c r="AC171" s="193"/>
      <c r="AD171" s="193"/>
    </row>
    <row r="172" ht="18.75" customHeight="1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  <c r="AB172" s="193"/>
      <c r="AC172" s="193"/>
      <c r="AD172" s="193"/>
    </row>
    <row r="173" ht="18.75" customHeight="1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  <c r="AB173" s="193"/>
      <c r="AC173" s="193"/>
      <c r="AD173" s="193"/>
    </row>
    <row r="174" ht="18.75" customHeight="1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  <c r="AB174" s="193"/>
      <c r="AC174" s="193"/>
      <c r="AD174" s="193"/>
    </row>
    <row r="175" ht="18.75" customHeight="1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  <c r="AB175" s="193"/>
      <c r="AC175" s="193"/>
      <c r="AD175" s="193"/>
    </row>
    <row r="176" ht="18.75" customHeight="1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  <c r="AB176" s="193"/>
      <c r="AC176" s="193"/>
      <c r="AD176" s="193"/>
    </row>
    <row r="177" ht="18.75" customHeight="1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  <c r="AB177" s="193"/>
      <c r="AC177" s="193"/>
      <c r="AD177" s="193"/>
    </row>
    <row r="178" ht="18.75" customHeight="1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  <c r="AB178" s="193"/>
      <c r="AC178" s="193"/>
      <c r="AD178" s="193"/>
    </row>
    <row r="179" ht="18.75" customHeight="1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  <c r="AB179" s="193"/>
      <c r="AC179" s="193"/>
      <c r="AD179" s="193"/>
    </row>
    <row r="180" ht="18.75" customHeight="1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  <c r="AB180" s="193"/>
      <c r="AC180" s="193"/>
      <c r="AD180" s="193"/>
    </row>
    <row r="181" ht="18.75" customHeight="1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  <c r="AB181" s="193"/>
      <c r="AC181" s="193"/>
      <c r="AD181" s="193"/>
    </row>
    <row r="182" ht="18.75" customHeight="1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  <c r="AB182" s="193"/>
      <c r="AC182" s="193"/>
      <c r="AD182" s="193"/>
    </row>
    <row r="183" ht="18.75" customHeight="1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  <c r="AB183" s="193"/>
      <c r="AC183" s="193"/>
      <c r="AD183" s="193"/>
    </row>
    <row r="184" ht="18.75" customHeight="1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  <c r="AB184" s="193"/>
      <c r="AC184" s="193"/>
      <c r="AD184" s="193"/>
    </row>
    <row r="185" ht="18.75" customHeight="1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  <c r="AB185" s="193"/>
      <c r="AC185" s="193"/>
      <c r="AD185" s="193"/>
    </row>
    <row r="186" ht="18.75" customHeight="1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  <c r="AB186" s="193"/>
      <c r="AC186" s="193"/>
      <c r="AD186" s="193"/>
    </row>
    <row r="187" ht="18.75" customHeight="1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  <c r="AB187" s="193"/>
      <c r="AC187" s="193"/>
      <c r="AD187" s="193"/>
    </row>
    <row r="188" ht="18.75" customHeight="1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  <c r="AB188" s="193"/>
      <c r="AC188" s="193"/>
      <c r="AD188" s="193"/>
    </row>
    <row r="189" ht="18.75" customHeight="1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  <c r="AB189" s="193"/>
      <c r="AC189" s="193"/>
      <c r="AD189" s="193"/>
    </row>
    <row r="190" ht="18.75" customHeight="1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  <c r="AB190" s="193"/>
      <c r="AC190" s="193"/>
      <c r="AD190" s="193"/>
    </row>
    <row r="191" ht="18.75" customHeight="1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  <c r="AB191" s="193"/>
      <c r="AC191" s="193"/>
      <c r="AD191" s="193"/>
    </row>
    <row r="192" ht="18.75" customHeight="1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  <c r="AB192" s="193"/>
      <c r="AC192" s="193"/>
      <c r="AD192" s="193"/>
    </row>
    <row r="193" ht="18.75" customHeight="1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  <c r="AB193" s="193"/>
      <c r="AC193" s="193"/>
      <c r="AD193" s="193"/>
    </row>
    <row r="194" ht="18.75" customHeight="1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  <c r="AB194" s="193"/>
      <c r="AC194" s="193"/>
      <c r="AD194" s="193"/>
    </row>
    <row r="195" ht="18.75" customHeight="1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  <c r="AB195" s="193"/>
      <c r="AC195" s="193"/>
      <c r="AD195" s="193"/>
    </row>
    <row r="196" ht="18.75" customHeight="1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  <c r="AB196" s="193"/>
      <c r="AC196" s="193"/>
      <c r="AD196" s="193"/>
    </row>
    <row r="197" ht="18.75" customHeight="1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  <c r="AA197" s="193"/>
      <c r="AB197" s="193"/>
      <c r="AC197" s="193"/>
      <c r="AD197" s="193"/>
    </row>
    <row r="198" ht="18.75" customHeight="1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  <c r="AB198" s="193"/>
      <c r="AC198" s="193"/>
      <c r="AD198" s="193"/>
    </row>
    <row r="199" ht="18.75" customHeight="1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  <c r="AB199" s="193"/>
      <c r="AC199" s="193"/>
      <c r="AD199" s="193"/>
    </row>
    <row r="200" ht="18.75" customHeight="1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  <c r="AB200" s="193"/>
      <c r="AC200" s="193"/>
      <c r="AD200" s="193"/>
    </row>
    <row r="201" ht="18.75" customHeight="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  <c r="AB201" s="193"/>
      <c r="AC201" s="193"/>
      <c r="AD201" s="193"/>
    </row>
    <row r="202" ht="18.75" customHeight="1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  <c r="AB202" s="193"/>
      <c r="AC202" s="193"/>
      <c r="AD202" s="193"/>
    </row>
    <row r="203" ht="18.75" customHeight="1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  <c r="AB203" s="193"/>
      <c r="AC203" s="193"/>
      <c r="AD203" s="193"/>
    </row>
    <row r="204" ht="18.75" customHeight="1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  <c r="AB204" s="193"/>
      <c r="AC204" s="193"/>
      <c r="AD204" s="193"/>
    </row>
    <row r="205" ht="18.75" customHeight="1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  <c r="AB205" s="193"/>
      <c r="AC205" s="193"/>
      <c r="AD205" s="193"/>
    </row>
    <row r="206" ht="18.75" customHeight="1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  <c r="AB206" s="193"/>
      <c r="AC206" s="193"/>
      <c r="AD206" s="193"/>
    </row>
    <row r="207" ht="18.75" customHeight="1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  <c r="AB207" s="193"/>
      <c r="AC207" s="193"/>
      <c r="AD207" s="193"/>
    </row>
    <row r="208" ht="18.75" customHeight="1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  <c r="AB208" s="193"/>
      <c r="AC208" s="193"/>
      <c r="AD208" s="193"/>
    </row>
    <row r="209" ht="18.75" customHeight="1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  <c r="AB209" s="193"/>
      <c r="AC209" s="193"/>
      <c r="AD209" s="193"/>
    </row>
    <row r="210" ht="18.75" customHeight="1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  <c r="AB210" s="193"/>
      <c r="AC210" s="193"/>
      <c r="AD210" s="193"/>
    </row>
    <row r="211" ht="18.75" customHeight="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  <c r="AB211" s="193"/>
      <c r="AC211" s="193"/>
      <c r="AD211" s="193"/>
    </row>
    <row r="212" ht="18.75" customHeight="1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  <c r="AB212" s="193"/>
      <c r="AC212" s="193"/>
      <c r="AD212" s="193"/>
    </row>
    <row r="213" ht="18.75" customHeight="1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  <c r="AB213" s="193"/>
      <c r="AC213" s="193"/>
      <c r="AD213" s="193"/>
    </row>
    <row r="214" ht="18.75" customHeight="1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  <c r="AB214" s="193"/>
      <c r="AC214" s="193"/>
      <c r="AD214" s="193"/>
    </row>
    <row r="215" ht="18.75" customHeight="1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  <c r="AB215" s="193"/>
      <c r="AC215" s="193"/>
      <c r="AD215" s="193"/>
    </row>
    <row r="216" ht="18.75" customHeight="1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</row>
    <row r="217" ht="18.75" customHeight="1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  <c r="AB217" s="193"/>
      <c r="AC217" s="193"/>
      <c r="AD217" s="193"/>
    </row>
    <row r="218" ht="18.75" customHeight="1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  <c r="AB218" s="193"/>
      <c r="AC218" s="193"/>
      <c r="AD218" s="193"/>
    </row>
    <row r="219" ht="18.75" customHeight="1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  <c r="AB219" s="193"/>
      <c r="AC219" s="193"/>
      <c r="AD219" s="193"/>
    </row>
    <row r="220" ht="18.75" customHeight="1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  <c r="AB220" s="193"/>
      <c r="AC220" s="193"/>
      <c r="AD220" s="193"/>
    </row>
    <row r="221" ht="18.75" customHeight="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  <c r="AB221" s="193"/>
      <c r="AC221" s="193"/>
      <c r="AD221" s="193"/>
    </row>
    <row r="222" ht="18.75" customHeight="1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  <c r="AB222" s="193"/>
      <c r="AC222" s="193"/>
      <c r="AD222" s="193"/>
    </row>
    <row r="223" ht="18.75" customHeight="1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  <c r="AB223" s="193"/>
      <c r="AC223" s="193"/>
      <c r="AD223" s="193"/>
    </row>
    <row r="224" ht="18.75" customHeight="1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  <c r="AB224" s="193"/>
      <c r="AC224" s="193"/>
      <c r="AD224" s="193"/>
    </row>
    <row r="225" ht="18.75" customHeight="1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93"/>
      <c r="AC225" s="193"/>
      <c r="AD225" s="193"/>
    </row>
    <row r="226" ht="18.75" customHeight="1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  <c r="AB226" s="193"/>
      <c r="AC226" s="193"/>
      <c r="AD226" s="193"/>
    </row>
    <row r="227" ht="18.75" customHeight="1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  <c r="AB227" s="193"/>
      <c r="AC227" s="193"/>
      <c r="AD227" s="193"/>
    </row>
    <row r="228" ht="18.75" customHeight="1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  <c r="AB228" s="193"/>
      <c r="AC228" s="193"/>
      <c r="AD228" s="193"/>
    </row>
    <row r="229" ht="18.75" customHeight="1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  <c r="AB229" s="193"/>
      <c r="AC229" s="193"/>
      <c r="AD229" s="193"/>
    </row>
    <row r="230" ht="18.75" customHeight="1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  <c r="AB230" s="193"/>
      <c r="AC230" s="193"/>
      <c r="AD230" s="193"/>
    </row>
    <row r="231" ht="18.75" customHeight="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  <c r="AB231" s="193"/>
      <c r="AC231" s="193"/>
      <c r="AD231" s="193"/>
    </row>
    <row r="232" ht="18.75" customHeight="1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  <c r="AB232" s="193"/>
      <c r="AC232" s="193"/>
      <c r="AD232" s="193"/>
    </row>
    <row r="233" ht="18.75" customHeight="1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  <c r="AB233" s="193"/>
      <c r="AC233" s="193"/>
      <c r="AD233" s="193"/>
    </row>
    <row r="234" ht="18.75" customHeight="1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  <c r="AB234" s="193"/>
      <c r="AC234" s="193"/>
      <c r="AD234" s="193"/>
    </row>
    <row r="235" ht="18.75" customHeight="1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  <c r="AB235" s="193"/>
      <c r="AC235" s="193"/>
      <c r="AD235" s="193"/>
    </row>
    <row r="236" ht="18.75" customHeight="1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  <c r="AA236" s="193"/>
      <c r="AB236" s="193"/>
      <c r="AC236" s="193"/>
      <c r="AD236" s="193"/>
    </row>
    <row r="237" ht="18.75" customHeight="1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  <c r="AB237" s="193"/>
      <c r="AC237" s="193"/>
      <c r="AD237" s="193"/>
    </row>
    <row r="238" ht="18.75" customHeight="1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  <c r="AB238" s="193"/>
      <c r="AC238" s="193"/>
      <c r="AD238" s="193"/>
    </row>
    <row r="239" ht="18.75" customHeight="1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  <c r="AB239" s="193"/>
      <c r="AC239" s="193"/>
      <c r="AD239" s="193"/>
    </row>
    <row r="240" ht="18.75" customHeight="1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  <c r="AB240" s="193"/>
      <c r="AC240" s="193"/>
      <c r="AD240" s="193"/>
    </row>
    <row r="241" ht="18.75" customHeight="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  <c r="AB241" s="193"/>
      <c r="AC241" s="193"/>
      <c r="AD241" s="193"/>
    </row>
    <row r="242" ht="18.75" customHeight="1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  <c r="AB242" s="193"/>
      <c r="AC242" s="193"/>
      <c r="AD242" s="193"/>
    </row>
    <row r="243" ht="18.75" customHeight="1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  <c r="AB243" s="193"/>
      <c r="AC243" s="193"/>
      <c r="AD243" s="193"/>
    </row>
    <row r="244" ht="18.75" customHeight="1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  <c r="AB244" s="193"/>
      <c r="AC244" s="193"/>
      <c r="AD244" s="193"/>
    </row>
    <row r="245" ht="18.75" customHeight="1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  <c r="AB245" s="193"/>
      <c r="AC245" s="193"/>
      <c r="AD245" s="193"/>
    </row>
    <row r="246" ht="18.75" customHeight="1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  <c r="AB246" s="193"/>
      <c r="AC246" s="193"/>
      <c r="AD246" s="193"/>
    </row>
    <row r="247" ht="18.75" customHeight="1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  <c r="AB247" s="193"/>
      <c r="AC247" s="193"/>
      <c r="AD247" s="193"/>
    </row>
    <row r="248" ht="18.75" customHeight="1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  <c r="AB248" s="193"/>
      <c r="AC248" s="193"/>
      <c r="AD248" s="193"/>
    </row>
    <row r="249" ht="18.75" customHeight="1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  <c r="AB249" s="193"/>
      <c r="AC249" s="193"/>
      <c r="AD249" s="193"/>
    </row>
    <row r="250" ht="18.75" customHeight="1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  <c r="AB250" s="193"/>
      <c r="AC250" s="193"/>
      <c r="AD250" s="193"/>
    </row>
    <row r="251" ht="18.75" customHeight="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  <c r="AB251" s="193"/>
      <c r="AC251" s="193"/>
      <c r="AD251" s="193"/>
    </row>
    <row r="252" ht="18.75" customHeight="1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  <c r="AB252" s="193"/>
      <c r="AC252" s="193"/>
      <c r="AD252" s="193"/>
    </row>
    <row r="253" ht="18.75" customHeight="1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  <c r="AB253" s="193"/>
      <c r="AC253" s="193"/>
      <c r="AD253" s="193"/>
    </row>
    <row r="254" ht="18.75" customHeight="1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  <c r="AB254" s="193"/>
      <c r="AC254" s="193"/>
      <c r="AD254" s="193"/>
    </row>
    <row r="255" ht="18.75" customHeight="1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  <c r="AB255" s="193"/>
      <c r="AC255" s="193"/>
      <c r="AD255" s="193"/>
    </row>
    <row r="256" ht="18.75" customHeight="1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  <c r="AA256" s="193"/>
      <c r="AB256" s="193"/>
      <c r="AC256" s="193"/>
      <c r="AD256" s="193"/>
    </row>
    <row r="257" ht="18.75" customHeight="1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  <c r="AB257" s="193"/>
      <c r="AC257" s="193"/>
      <c r="AD257" s="193"/>
    </row>
    <row r="258" ht="18.75" customHeight="1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  <c r="AB258" s="193"/>
      <c r="AC258" s="193"/>
      <c r="AD258" s="193"/>
    </row>
    <row r="259" ht="18.75" customHeight="1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  <c r="AB259" s="193"/>
      <c r="AC259" s="193"/>
      <c r="AD259" s="193"/>
    </row>
    <row r="260" ht="18.75" customHeight="1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  <c r="AB260" s="193"/>
      <c r="AC260" s="193"/>
      <c r="AD260" s="193"/>
    </row>
    <row r="261" ht="18.75" customHeight="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  <c r="AB261" s="193"/>
      <c r="AC261" s="193"/>
      <c r="AD261" s="193"/>
    </row>
    <row r="262" ht="18.75" customHeight="1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  <c r="AB262" s="193"/>
      <c r="AC262" s="193"/>
      <c r="AD262" s="193"/>
    </row>
    <row r="263" ht="18.75" customHeight="1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  <c r="AB263" s="193"/>
      <c r="AC263" s="193"/>
      <c r="AD263" s="193"/>
    </row>
    <row r="264" ht="18.75" customHeight="1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  <c r="AB264" s="193"/>
      <c r="AC264" s="193"/>
      <c r="AD264" s="193"/>
    </row>
    <row r="265" ht="18.75" customHeight="1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  <c r="AB265" s="193"/>
      <c r="AC265" s="193"/>
      <c r="AD265" s="193"/>
    </row>
    <row r="266" ht="18.75" customHeight="1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  <c r="AB266" s="193"/>
      <c r="AC266" s="193"/>
      <c r="AD266" s="193"/>
    </row>
    <row r="267" ht="18.75" customHeight="1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  <c r="AA267" s="193"/>
      <c r="AB267" s="193"/>
      <c r="AC267" s="193"/>
      <c r="AD267" s="193"/>
    </row>
    <row r="268" ht="18.75" customHeight="1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  <c r="AA268" s="193"/>
      <c r="AB268" s="193"/>
      <c r="AC268" s="193"/>
      <c r="AD268" s="193"/>
    </row>
    <row r="269" ht="18.75" customHeight="1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  <c r="AA269" s="193"/>
      <c r="AB269" s="193"/>
      <c r="AC269" s="193"/>
      <c r="AD269" s="193"/>
    </row>
    <row r="270" ht="18.75" customHeight="1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  <c r="AB270" s="193"/>
      <c r="AC270" s="193"/>
      <c r="AD270" s="193"/>
    </row>
    <row r="271" ht="18.75" customHeight="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  <c r="AB271" s="193"/>
      <c r="AC271" s="193"/>
      <c r="AD271" s="193"/>
    </row>
    <row r="272" ht="18.75" customHeight="1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  <c r="AB272" s="193"/>
      <c r="AC272" s="193"/>
      <c r="AD272" s="193"/>
    </row>
    <row r="273" ht="18.75" customHeight="1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  <c r="AA273" s="193"/>
      <c r="AB273" s="193"/>
      <c r="AC273" s="193"/>
      <c r="AD273" s="193"/>
    </row>
    <row r="274" ht="18.75" customHeight="1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  <c r="AA274" s="193"/>
      <c r="AB274" s="193"/>
      <c r="AC274" s="193"/>
      <c r="AD274" s="193"/>
    </row>
    <row r="275" ht="18.75" customHeight="1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  <c r="AB275" s="193"/>
      <c r="AC275" s="193"/>
      <c r="AD275" s="193"/>
    </row>
    <row r="276" ht="18.75" customHeight="1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  <c r="AB276" s="193"/>
      <c r="AC276" s="193"/>
      <c r="AD276" s="193"/>
    </row>
    <row r="277" ht="18.75" customHeight="1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  <c r="AB277" s="193"/>
      <c r="AC277" s="193"/>
      <c r="AD277" s="193"/>
    </row>
    <row r="278" ht="18.75" customHeight="1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  <c r="AB278" s="193"/>
      <c r="AC278" s="193"/>
      <c r="AD278" s="193"/>
    </row>
    <row r="279" ht="18.75" customHeight="1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  <c r="AA279" s="193"/>
      <c r="AB279" s="193"/>
      <c r="AC279" s="193"/>
      <c r="AD279" s="193"/>
    </row>
    <row r="280" ht="18.75" customHeight="1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  <c r="AB280" s="193"/>
      <c r="AC280" s="193"/>
      <c r="AD280" s="193"/>
    </row>
    <row r="281" ht="18.75" customHeight="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  <c r="AB281" s="193"/>
      <c r="AC281" s="193"/>
      <c r="AD281" s="193"/>
    </row>
    <row r="282" ht="18.75" customHeight="1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  <c r="AA282" s="193"/>
      <c r="AB282" s="193"/>
      <c r="AC282" s="193"/>
      <c r="AD282" s="193"/>
    </row>
    <row r="283" ht="18.75" customHeight="1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  <c r="AA283" s="193"/>
      <c r="AB283" s="193"/>
      <c r="AC283" s="193"/>
      <c r="AD283" s="193"/>
    </row>
    <row r="284" ht="18.75" customHeight="1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  <c r="AB284" s="193"/>
      <c r="AC284" s="193"/>
      <c r="AD284" s="193"/>
    </row>
    <row r="285" ht="18.75" customHeight="1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  <c r="AB285" s="193"/>
      <c r="AC285" s="193"/>
      <c r="AD285" s="193"/>
    </row>
    <row r="286" ht="18.75" customHeight="1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  <c r="AA286" s="193"/>
      <c r="AB286" s="193"/>
      <c r="AC286" s="193"/>
      <c r="AD286" s="193"/>
    </row>
    <row r="287" ht="18.75" customHeight="1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  <c r="AA287" s="193"/>
      <c r="AB287" s="193"/>
      <c r="AC287" s="193"/>
      <c r="AD287" s="193"/>
    </row>
    <row r="288" ht="18.75" customHeight="1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  <c r="AA288" s="193"/>
      <c r="AB288" s="193"/>
      <c r="AC288" s="193"/>
      <c r="AD288" s="193"/>
    </row>
    <row r="289" ht="18.75" customHeight="1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  <c r="AB289" s="193"/>
      <c r="AC289" s="193"/>
      <c r="AD289" s="193"/>
    </row>
    <row r="290" ht="18.75" customHeight="1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  <c r="AB290" s="193"/>
      <c r="AC290" s="193"/>
      <c r="AD290" s="193"/>
    </row>
    <row r="291" ht="18.75" customHeight="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  <c r="AA291" s="193"/>
      <c r="AB291" s="193"/>
      <c r="AC291" s="193"/>
      <c r="AD291" s="193"/>
    </row>
    <row r="292" ht="18.75" customHeight="1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  <c r="AB292" s="193"/>
      <c r="AC292" s="193"/>
      <c r="AD292" s="193"/>
    </row>
    <row r="293" ht="18.75" customHeight="1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  <c r="AB293" s="193"/>
      <c r="AC293" s="193"/>
      <c r="AD293" s="193"/>
    </row>
    <row r="294" ht="18.75" customHeight="1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  <c r="AB294" s="193"/>
      <c r="AC294" s="193"/>
      <c r="AD294" s="193"/>
    </row>
    <row r="295" ht="18.75" customHeight="1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  <c r="AA295" s="193"/>
      <c r="AB295" s="193"/>
      <c r="AC295" s="193"/>
      <c r="AD295" s="193"/>
    </row>
    <row r="296" ht="18.75" customHeight="1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  <c r="AA296" s="193"/>
      <c r="AB296" s="193"/>
      <c r="AC296" s="193"/>
      <c r="AD296" s="193"/>
    </row>
    <row r="297" ht="18.75" customHeight="1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  <c r="AA297" s="193"/>
      <c r="AB297" s="193"/>
      <c r="AC297" s="193"/>
      <c r="AD297" s="193"/>
    </row>
    <row r="298" ht="18.75" customHeight="1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  <c r="AA298" s="193"/>
      <c r="AB298" s="193"/>
      <c r="AC298" s="193"/>
      <c r="AD298" s="193"/>
    </row>
    <row r="299" ht="18.75" customHeight="1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  <c r="AA299" s="193"/>
      <c r="AB299" s="193"/>
      <c r="AC299" s="193"/>
      <c r="AD299" s="193"/>
    </row>
    <row r="300" ht="18.75" customHeight="1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  <c r="AB300" s="193"/>
      <c r="AC300" s="193"/>
      <c r="AD300" s="193"/>
    </row>
    <row r="301" ht="18.75" customHeight="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  <c r="AA301" s="193"/>
      <c r="AB301" s="193"/>
      <c r="AC301" s="193"/>
      <c r="AD301" s="193"/>
    </row>
    <row r="302" ht="18.75" customHeight="1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  <c r="AA302" s="193"/>
      <c r="AB302" s="193"/>
      <c r="AC302" s="193"/>
      <c r="AD302" s="193"/>
    </row>
    <row r="303" ht="18.75" customHeight="1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  <c r="AA303" s="193"/>
      <c r="AB303" s="193"/>
      <c r="AC303" s="193"/>
      <c r="AD303" s="193"/>
    </row>
    <row r="304" ht="18.75" customHeight="1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  <c r="AA304" s="193"/>
      <c r="AB304" s="193"/>
      <c r="AC304" s="193"/>
      <c r="AD304" s="193"/>
    </row>
    <row r="305" ht="18.75" customHeight="1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  <c r="AA305" s="193"/>
      <c r="AB305" s="193"/>
      <c r="AC305" s="193"/>
      <c r="AD305" s="193"/>
    </row>
    <row r="306" ht="18.75" customHeight="1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  <c r="AA306" s="193"/>
      <c r="AB306" s="193"/>
      <c r="AC306" s="193"/>
      <c r="AD306" s="193"/>
    </row>
    <row r="307" ht="18.75" customHeight="1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  <c r="AA307" s="193"/>
      <c r="AB307" s="193"/>
      <c r="AC307" s="193"/>
      <c r="AD307" s="193"/>
    </row>
    <row r="308" ht="18.75" customHeight="1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  <c r="AA308" s="193"/>
      <c r="AB308" s="193"/>
      <c r="AC308" s="193"/>
      <c r="AD308" s="193"/>
    </row>
    <row r="309" ht="18.75" customHeight="1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  <c r="AB309" s="193"/>
      <c r="AC309" s="193"/>
      <c r="AD309" s="193"/>
    </row>
    <row r="310" ht="18.75" customHeight="1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  <c r="AB310" s="193"/>
      <c r="AC310" s="193"/>
      <c r="AD310" s="193"/>
    </row>
    <row r="311" ht="18.75" customHeight="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  <c r="AA311" s="193"/>
      <c r="AB311" s="193"/>
      <c r="AC311" s="193"/>
      <c r="AD311" s="193"/>
    </row>
    <row r="312" ht="18.75" customHeight="1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  <c r="AA312" s="193"/>
      <c r="AB312" s="193"/>
      <c r="AC312" s="193"/>
      <c r="AD312" s="193"/>
    </row>
    <row r="313" ht="18.75" customHeight="1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  <c r="AA313" s="193"/>
      <c r="AB313" s="193"/>
      <c r="AC313" s="193"/>
      <c r="AD313" s="193"/>
    </row>
    <row r="314" ht="18.75" customHeight="1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  <c r="AA314" s="193"/>
      <c r="AB314" s="193"/>
      <c r="AC314" s="193"/>
      <c r="AD314" s="193"/>
    </row>
    <row r="315" ht="18.75" customHeight="1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  <c r="AA315" s="193"/>
      <c r="AB315" s="193"/>
      <c r="AC315" s="193"/>
      <c r="AD315" s="193"/>
    </row>
    <row r="316" ht="18.75" customHeight="1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  <c r="AA316" s="193"/>
      <c r="AB316" s="193"/>
      <c r="AC316" s="193"/>
      <c r="AD316" s="193"/>
    </row>
    <row r="317" ht="18.75" customHeight="1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  <c r="AA317" s="193"/>
      <c r="AB317" s="193"/>
      <c r="AC317" s="193"/>
      <c r="AD317" s="193"/>
    </row>
    <row r="318" ht="18.75" customHeight="1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  <c r="AA318" s="193"/>
      <c r="AB318" s="193"/>
      <c r="AC318" s="193"/>
      <c r="AD318" s="193"/>
    </row>
    <row r="319" ht="18.75" customHeight="1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  <c r="AA319" s="193"/>
      <c r="AB319" s="193"/>
      <c r="AC319" s="193"/>
      <c r="AD319" s="193"/>
    </row>
    <row r="320" ht="18.75" customHeight="1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  <c r="AA320" s="193"/>
      <c r="AB320" s="193"/>
      <c r="AC320" s="193"/>
      <c r="AD320" s="193"/>
    </row>
    <row r="321" ht="18.75" customHeight="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  <c r="AA321" s="193"/>
      <c r="AB321" s="193"/>
      <c r="AC321" s="193"/>
      <c r="AD321" s="193"/>
    </row>
    <row r="322" ht="18.75" customHeight="1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  <c r="AB322" s="193"/>
      <c r="AC322" s="193"/>
      <c r="AD322" s="193"/>
    </row>
    <row r="323" ht="18.75" customHeight="1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  <c r="AA323" s="193"/>
      <c r="AB323" s="193"/>
      <c r="AC323" s="193"/>
      <c r="AD323" s="193"/>
    </row>
    <row r="324" ht="18.75" customHeight="1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  <c r="AA324" s="193"/>
      <c r="AB324" s="193"/>
      <c r="AC324" s="193"/>
      <c r="AD324" s="193"/>
    </row>
    <row r="325" ht="18.75" customHeight="1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  <c r="AA325" s="193"/>
      <c r="AB325" s="193"/>
      <c r="AC325" s="193"/>
      <c r="AD325" s="193"/>
    </row>
    <row r="326" ht="18.75" customHeight="1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  <c r="AB326" s="193"/>
      <c r="AC326" s="193"/>
      <c r="AD326" s="193"/>
    </row>
    <row r="327" ht="18.75" customHeight="1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  <c r="AB327" s="193"/>
      <c r="AC327" s="193"/>
      <c r="AD327" s="193"/>
    </row>
    <row r="328" ht="18.75" customHeight="1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  <c r="AA328" s="193"/>
      <c r="AB328" s="193"/>
      <c r="AC328" s="193"/>
      <c r="AD328" s="193"/>
    </row>
    <row r="329" ht="18.75" customHeight="1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  <c r="AB329" s="193"/>
      <c r="AC329" s="193"/>
      <c r="AD329" s="193"/>
    </row>
    <row r="330" ht="18.75" customHeight="1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  <c r="AA330" s="193"/>
      <c r="AB330" s="193"/>
      <c r="AC330" s="193"/>
      <c r="AD330" s="193"/>
    </row>
    <row r="331" ht="18.75" customHeight="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  <c r="AA331" s="193"/>
      <c r="AB331" s="193"/>
      <c r="AC331" s="193"/>
      <c r="AD331" s="193"/>
    </row>
    <row r="332" ht="18.75" customHeight="1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  <c r="AA332" s="193"/>
      <c r="AB332" s="193"/>
      <c r="AC332" s="193"/>
      <c r="AD332" s="193"/>
    </row>
    <row r="333" ht="18.75" customHeight="1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  <c r="AA333" s="193"/>
      <c r="AB333" s="193"/>
      <c r="AC333" s="193"/>
      <c r="AD333" s="193"/>
    </row>
    <row r="334" ht="18.75" customHeight="1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  <c r="AA334" s="193"/>
      <c r="AB334" s="193"/>
      <c r="AC334" s="193"/>
      <c r="AD334" s="193"/>
    </row>
    <row r="335" ht="18.75" customHeight="1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  <c r="AA335" s="193"/>
      <c r="AB335" s="193"/>
      <c r="AC335" s="193"/>
      <c r="AD335" s="193"/>
    </row>
    <row r="336" ht="18.75" customHeight="1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  <c r="AB336" s="193"/>
      <c r="AC336" s="193"/>
      <c r="AD336" s="193"/>
    </row>
    <row r="337" ht="18.75" customHeight="1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  <c r="AA337" s="193"/>
      <c r="AB337" s="193"/>
      <c r="AC337" s="193"/>
      <c r="AD337" s="193"/>
    </row>
    <row r="338" ht="18.75" customHeight="1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  <c r="AB338" s="193"/>
      <c r="AC338" s="193"/>
      <c r="AD338" s="193"/>
    </row>
    <row r="339" ht="18.75" customHeight="1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  <c r="AA339" s="193"/>
      <c r="AB339" s="193"/>
      <c r="AC339" s="193"/>
      <c r="AD339" s="193"/>
    </row>
    <row r="340" ht="18.75" customHeight="1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  <c r="AA340" s="193"/>
      <c r="AB340" s="193"/>
      <c r="AC340" s="193"/>
      <c r="AD340" s="193"/>
    </row>
    <row r="341" ht="18.75" customHeight="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  <c r="AA341" s="193"/>
      <c r="AB341" s="193"/>
      <c r="AC341" s="193"/>
      <c r="AD341" s="193"/>
    </row>
    <row r="342" ht="18.75" customHeight="1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  <c r="AB342" s="193"/>
      <c r="AC342" s="193"/>
      <c r="AD342" s="193"/>
    </row>
    <row r="343" ht="18.75" customHeight="1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  <c r="AB343" s="193"/>
      <c r="AC343" s="193"/>
      <c r="AD343" s="193"/>
    </row>
    <row r="344" ht="18.75" customHeight="1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  <c r="AA344" s="193"/>
      <c r="AB344" s="193"/>
      <c r="AC344" s="193"/>
      <c r="AD344" s="193"/>
    </row>
    <row r="345" ht="18.75" customHeight="1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  <c r="AA345" s="193"/>
      <c r="AB345" s="193"/>
      <c r="AC345" s="193"/>
      <c r="AD345" s="193"/>
    </row>
    <row r="346" ht="18.75" customHeight="1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  <c r="AA346" s="193"/>
      <c r="AB346" s="193"/>
      <c r="AC346" s="193"/>
      <c r="AD346" s="193"/>
    </row>
    <row r="347" ht="18.75" customHeight="1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  <c r="AA347" s="193"/>
      <c r="AB347" s="193"/>
      <c r="AC347" s="193"/>
      <c r="AD347" s="193"/>
    </row>
    <row r="348" ht="18.75" customHeight="1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  <c r="AA348" s="193"/>
      <c r="AB348" s="193"/>
      <c r="AC348" s="193"/>
      <c r="AD348" s="193"/>
    </row>
    <row r="349" ht="18.75" customHeight="1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  <c r="AA349" s="193"/>
      <c r="AB349" s="193"/>
      <c r="AC349" s="193"/>
      <c r="AD349" s="193"/>
    </row>
    <row r="350" ht="18.75" customHeight="1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  <c r="AA350" s="193"/>
      <c r="AB350" s="193"/>
      <c r="AC350" s="193"/>
      <c r="AD350" s="193"/>
    </row>
    <row r="351" ht="18.75" customHeight="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  <c r="AB351" s="193"/>
      <c r="AC351" s="193"/>
      <c r="AD351" s="193"/>
    </row>
    <row r="352" ht="18.75" customHeight="1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  <c r="AA352" s="193"/>
      <c r="AB352" s="193"/>
      <c r="AC352" s="193"/>
      <c r="AD352" s="193"/>
    </row>
    <row r="353" ht="18.75" customHeight="1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  <c r="AA353" s="193"/>
      <c r="AB353" s="193"/>
      <c r="AC353" s="193"/>
      <c r="AD353" s="193"/>
    </row>
    <row r="354" ht="18.75" customHeight="1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  <c r="AA354" s="193"/>
      <c r="AB354" s="193"/>
      <c r="AC354" s="193"/>
      <c r="AD354" s="193"/>
    </row>
    <row r="355" ht="18.75" customHeight="1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  <c r="AA355" s="193"/>
      <c r="AB355" s="193"/>
      <c r="AC355" s="193"/>
      <c r="AD355" s="193"/>
    </row>
    <row r="356" ht="18.75" customHeight="1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  <c r="AA356" s="193"/>
      <c r="AB356" s="193"/>
      <c r="AC356" s="193"/>
      <c r="AD356" s="193"/>
    </row>
    <row r="357" ht="18.75" customHeight="1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  <c r="AB357" s="193"/>
      <c r="AC357" s="193"/>
      <c r="AD357" s="193"/>
    </row>
    <row r="358" ht="18.75" customHeight="1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  <c r="AA358" s="193"/>
      <c r="AB358" s="193"/>
      <c r="AC358" s="193"/>
      <c r="AD358" s="193"/>
    </row>
    <row r="359" ht="18.75" customHeight="1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  <c r="AA359" s="193"/>
      <c r="AB359" s="193"/>
      <c r="AC359" s="193"/>
      <c r="AD359" s="193"/>
    </row>
    <row r="360" ht="18.75" customHeight="1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  <c r="AA360" s="193"/>
      <c r="AB360" s="193"/>
      <c r="AC360" s="193"/>
      <c r="AD360" s="193"/>
    </row>
    <row r="361" ht="18.75" customHeight="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  <c r="AA361" s="193"/>
      <c r="AB361" s="193"/>
      <c r="AC361" s="193"/>
      <c r="AD361" s="193"/>
    </row>
    <row r="362" ht="18.75" customHeight="1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  <c r="AA362" s="193"/>
      <c r="AB362" s="193"/>
      <c r="AC362" s="193"/>
      <c r="AD362" s="193"/>
    </row>
    <row r="363" ht="18.75" customHeight="1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  <c r="AA363" s="193"/>
      <c r="AB363" s="193"/>
      <c r="AC363" s="193"/>
      <c r="AD363" s="193"/>
    </row>
    <row r="364" ht="18.75" customHeight="1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  <c r="AA364" s="193"/>
      <c r="AB364" s="193"/>
      <c r="AC364" s="193"/>
      <c r="AD364" s="193"/>
    </row>
    <row r="365" ht="18.75" customHeight="1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  <c r="AB365" s="193"/>
      <c r="AC365" s="193"/>
      <c r="AD365" s="193"/>
    </row>
    <row r="366" ht="18.75" customHeight="1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  <c r="AA366" s="193"/>
      <c r="AB366" s="193"/>
      <c r="AC366" s="193"/>
      <c r="AD366" s="193"/>
    </row>
    <row r="367" ht="18.75" customHeight="1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  <c r="AA367" s="193"/>
      <c r="AB367" s="193"/>
      <c r="AC367" s="193"/>
      <c r="AD367" s="193"/>
    </row>
    <row r="368" ht="18.75" customHeight="1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  <c r="AA368" s="193"/>
      <c r="AB368" s="193"/>
      <c r="AC368" s="193"/>
      <c r="AD368" s="193"/>
    </row>
    <row r="369" ht="18.75" customHeight="1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  <c r="AA369" s="193"/>
      <c r="AB369" s="193"/>
      <c r="AC369" s="193"/>
      <c r="AD369" s="193"/>
    </row>
    <row r="370" ht="18.75" customHeight="1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  <c r="AA370" s="193"/>
      <c r="AB370" s="193"/>
      <c r="AC370" s="193"/>
      <c r="AD370" s="193"/>
    </row>
    <row r="371" ht="18.75" customHeight="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  <c r="AA371" s="193"/>
      <c r="AB371" s="193"/>
      <c r="AC371" s="193"/>
      <c r="AD371" s="193"/>
    </row>
    <row r="372" ht="18.75" customHeight="1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  <c r="AA372" s="193"/>
      <c r="AB372" s="193"/>
      <c r="AC372" s="193"/>
      <c r="AD372" s="193"/>
    </row>
    <row r="373" ht="18.75" customHeight="1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  <c r="AA373" s="193"/>
      <c r="AB373" s="193"/>
      <c r="AC373" s="193"/>
      <c r="AD373" s="193"/>
    </row>
    <row r="374" ht="18.75" customHeight="1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  <c r="AA374" s="193"/>
      <c r="AB374" s="193"/>
      <c r="AC374" s="193"/>
      <c r="AD374" s="193"/>
    </row>
    <row r="375" ht="18.75" customHeight="1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  <c r="AA375" s="193"/>
      <c r="AB375" s="193"/>
      <c r="AC375" s="193"/>
      <c r="AD375" s="193"/>
    </row>
    <row r="376" ht="18.75" customHeight="1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  <c r="AB376" s="193"/>
      <c r="AC376" s="193"/>
      <c r="AD376" s="193"/>
    </row>
    <row r="377" ht="18.75" customHeight="1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  <c r="AA377" s="193"/>
      <c r="AB377" s="193"/>
      <c r="AC377" s="193"/>
      <c r="AD377" s="193"/>
    </row>
    <row r="378" ht="18.75" customHeight="1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  <c r="AA378" s="193"/>
      <c r="AB378" s="193"/>
      <c r="AC378" s="193"/>
      <c r="AD378" s="193"/>
    </row>
    <row r="379" ht="18.75" customHeight="1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  <c r="AB379" s="193"/>
      <c r="AC379" s="193"/>
      <c r="AD379" s="193"/>
    </row>
    <row r="380" ht="18.75" customHeight="1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  <c r="AB380" s="193"/>
      <c r="AC380" s="193"/>
      <c r="AD380" s="193"/>
    </row>
    <row r="381" ht="18.75" customHeight="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  <c r="AA381" s="193"/>
      <c r="AB381" s="193"/>
      <c r="AC381" s="193"/>
      <c r="AD381" s="193"/>
    </row>
    <row r="382" ht="18.75" customHeight="1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  <c r="AB382" s="193"/>
      <c r="AC382" s="193"/>
      <c r="AD382" s="193"/>
    </row>
    <row r="383" ht="18.75" customHeight="1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  <c r="AA383" s="193"/>
      <c r="AB383" s="193"/>
      <c r="AC383" s="193"/>
      <c r="AD383" s="193"/>
    </row>
    <row r="384" ht="18.75" customHeight="1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  <c r="AB384" s="193"/>
      <c r="AC384" s="193"/>
      <c r="AD384" s="193"/>
    </row>
    <row r="385" ht="18.75" customHeight="1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  <c r="AB385" s="193"/>
      <c r="AC385" s="193"/>
      <c r="AD385" s="193"/>
    </row>
    <row r="386" ht="18.75" customHeight="1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  <c r="AA386" s="193"/>
      <c r="AB386" s="193"/>
      <c r="AC386" s="193"/>
      <c r="AD386" s="193"/>
    </row>
    <row r="387" ht="18.75" customHeight="1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  <c r="AA387" s="193"/>
      <c r="AB387" s="193"/>
      <c r="AC387" s="193"/>
      <c r="AD387" s="193"/>
    </row>
    <row r="388" ht="18.75" customHeight="1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  <c r="AA388" s="193"/>
      <c r="AB388" s="193"/>
      <c r="AC388" s="193"/>
      <c r="AD388" s="193"/>
    </row>
    <row r="389" ht="18.75" customHeight="1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  <c r="AB389" s="193"/>
      <c r="AC389" s="193"/>
      <c r="AD389" s="193"/>
    </row>
    <row r="390" ht="18.75" customHeight="1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  <c r="AA390" s="193"/>
      <c r="AB390" s="193"/>
      <c r="AC390" s="193"/>
      <c r="AD390" s="193"/>
    </row>
    <row r="391" ht="18.75" customHeight="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  <c r="AA391" s="193"/>
      <c r="AB391" s="193"/>
      <c r="AC391" s="193"/>
      <c r="AD391" s="193"/>
    </row>
    <row r="392" ht="18.75" customHeight="1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  <c r="AA392" s="193"/>
      <c r="AB392" s="193"/>
      <c r="AC392" s="193"/>
      <c r="AD392" s="193"/>
    </row>
    <row r="393" ht="18.75" customHeight="1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  <c r="AA393" s="193"/>
      <c r="AB393" s="193"/>
      <c r="AC393" s="193"/>
      <c r="AD393" s="193"/>
    </row>
    <row r="394" ht="18.75" customHeight="1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  <c r="AA394" s="193"/>
      <c r="AB394" s="193"/>
      <c r="AC394" s="193"/>
      <c r="AD394" s="193"/>
    </row>
    <row r="395" ht="18.75" customHeight="1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  <c r="AB395" s="193"/>
      <c r="AC395" s="193"/>
      <c r="AD395" s="193"/>
    </row>
    <row r="396" ht="18.75" customHeight="1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  <c r="AA396" s="193"/>
      <c r="AB396" s="193"/>
      <c r="AC396" s="193"/>
      <c r="AD396" s="193"/>
    </row>
    <row r="397" ht="18.75" customHeight="1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  <c r="AB397" s="193"/>
      <c r="AC397" s="193"/>
      <c r="AD397" s="193"/>
    </row>
    <row r="398" ht="18.75" customHeight="1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  <c r="AB398" s="193"/>
      <c r="AC398" s="193"/>
      <c r="AD398" s="193"/>
    </row>
    <row r="399" ht="18.75" customHeight="1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  <c r="AB399" s="193"/>
      <c r="AC399" s="193"/>
      <c r="AD399" s="193"/>
    </row>
    <row r="400" ht="18.75" customHeight="1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  <c r="AA400" s="193"/>
      <c r="AB400" s="193"/>
      <c r="AC400" s="193"/>
      <c r="AD400" s="193"/>
    </row>
    <row r="401" ht="18.75" customHeight="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  <c r="AA401" s="193"/>
      <c r="AB401" s="193"/>
      <c r="AC401" s="193"/>
      <c r="AD401" s="193"/>
    </row>
    <row r="402" ht="18.75" customHeight="1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  <c r="AA402" s="193"/>
      <c r="AB402" s="193"/>
      <c r="AC402" s="193"/>
      <c r="AD402" s="193"/>
    </row>
    <row r="403" ht="18.75" customHeight="1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  <c r="AB403" s="193"/>
      <c r="AC403" s="193"/>
      <c r="AD403" s="193"/>
    </row>
    <row r="404" ht="18.75" customHeight="1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  <c r="AA404" s="193"/>
      <c r="AB404" s="193"/>
      <c r="AC404" s="193"/>
      <c r="AD404" s="193"/>
    </row>
    <row r="405" ht="18.75" customHeight="1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  <c r="AA405" s="193"/>
      <c r="AB405" s="193"/>
      <c r="AC405" s="193"/>
      <c r="AD405" s="193"/>
    </row>
    <row r="406" ht="18.75" customHeight="1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  <c r="AA406" s="193"/>
      <c r="AB406" s="193"/>
      <c r="AC406" s="193"/>
      <c r="AD406" s="193"/>
    </row>
    <row r="407" ht="18.75" customHeight="1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  <c r="AB407" s="193"/>
      <c r="AC407" s="193"/>
      <c r="AD407" s="193"/>
    </row>
    <row r="408" ht="18.75" customHeight="1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  <c r="AA408" s="193"/>
      <c r="AB408" s="193"/>
      <c r="AC408" s="193"/>
      <c r="AD408" s="193"/>
    </row>
    <row r="409" ht="18.75" customHeight="1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  <c r="AA409" s="193"/>
      <c r="AB409" s="193"/>
      <c r="AC409" s="193"/>
      <c r="AD409" s="193"/>
    </row>
    <row r="410" ht="18.75" customHeight="1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  <c r="AA410" s="193"/>
      <c r="AB410" s="193"/>
      <c r="AC410" s="193"/>
      <c r="AD410" s="193"/>
    </row>
    <row r="411" ht="18.75" customHeight="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  <c r="AA411" s="193"/>
      <c r="AB411" s="193"/>
      <c r="AC411" s="193"/>
      <c r="AD411" s="193"/>
    </row>
    <row r="412" ht="18.75" customHeight="1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  <c r="AA412" s="193"/>
      <c r="AB412" s="193"/>
      <c r="AC412" s="193"/>
      <c r="AD412" s="193"/>
    </row>
    <row r="413" ht="18.75" customHeight="1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  <c r="AA413" s="193"/>
      <c r="AB413" s="193"/>
      <c r="AC413" s="193"/>
      <c r="AD413" s="193"/>
    </row>
    <row r="414" ht="18.75" customHeight="1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  <c r="AA414" s="193"/>
      <c r="AB414" s="193"/>
      <c r="AC414" s="193"/>
      <c r="AD414" s="193"/>
    </row>
    <row r="415" ht="18.75" customHeight="1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  <c r="AA415" s="193"/>
      <c r="AB415" s="193"/>
      <c r="AC415" s="193"/>
      <c r="AD415" s="193"/>
    </row>
    <row r="416" ht="18.75" customHeight="1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  <c r="AA416" s="193"/>
      <c r="AB416" s="193"/>
      <c r="AC416" s="193"/>
      <c r="AD416" s="193"/>
    </row>
    <row r="417" ht="18.75" customHeight="1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  <c r="AA417" s="193"/>
      <c r="AB417" s="193"/>
      <c r="AC417" s="193"/>
      <c r="AD417" s="193"/>
    </row>
    <row r="418" ht="18.75" customHeight="1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  <c r="AB418" s="193"/>
      <c r="AC418" s="193"/>
      <c r="AD418" s="193"/>
    </row>
    <row r="419" ht="18.75" customHeight="1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  <c r="AA419" s="193"/>
      <c r="AB419" s="193"/>
      <c r="AC419" s="193"/>
      <c r="AD419" s="193"/>
    </row>
    <row r="420" ht="18.75" customHeight="1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  <c r="AA420" s="193"/>
      <c r="AB420" s="193"/>
      <c r="AC420" s="193"/>
      <c r="AD420" s="193"/>
    </row>
    <row r="421" ht="18.75" customHeight="1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  <c r="AB421" s="193"/>
      <c r="AC421" s="193"/>
      <c r="AD421" s="193"/>
    </row>
    <row r="422" ht="18.75" customHeight="1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  <c r="AB422" s="193"/>
      <c r="AC422" s="193"/>
      <c r="AD422" s="193"/>
    </row>
    <row r="423" ht="18.75" customHeight="1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  <c r="AB423" s="193"/>
      <c r="AC423" s="193"/>
      <c r="AD423" s="193"/>
    </row>
    <row r="424" ht="18.75" customHeight="1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  <c r="AA424" s="193"/>
      <c r="AB424" s="193"/>
      <c r="AC424" s="193"/>
      <c r="AD424" s="193"/>
    </row>
    <row r="425" ht="18.75" customHeight="1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  <c r="AA425" s="193"/>
      <c r="AB425" s="193"/>
      <c r="AC425" s="193"/>
      <c r="AD425" s="193"/>
    </row>
    <row r="426" ht="18.75" customHeight="1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  <c r="AA426" s="193"/>
      <c r="AB426" s="193"/>
      <c r="AC426" s="193"/>
      <c r="AD426" s="193"/>
    </row>
    <row r="427" ht="18.75" customHeight="1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  <c r="AA427" s="193"/>
      <c r="AB427" s="193"/>
      <c r="AC427" s="193"/>
      <c r="AD427" s="193"/>
    </row>
    <row r="428" ht="18.75" customHeight="1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  <c r="AA428" s="193"/>
      <c r="AB428" s="193"/>
      <c r="AC428" s="193"/>
      <c r="AD428" s="193"/>
    </row>
    <row r="429" ht="18.75" customHeight="1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  <c r="AA429" s="193"/>
      <c r="AB429" s="193"/>
      <c r="AC429" s="193"/>
      <c r="AD429" s="193"/>
    </row>
    <row r="430" ht="18.75" customHeight="1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  <c r="AA430" s="193"/>
      <c r="AB430" s="193"/>
      <c r="AC430" s="193"/>
      <c r="AD430" s="193"/>
    </row>
    <row r="431" ht="18.75" customHeight="1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  <c r="AA431" s="193"/>
      <c r="AB431" s="193"/>
      <c r="AC431" s="193"/>
      <c r="AD431" s="193"/>
    </row>
    <row r="432" ht="18.75" customHeight="1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  <c r="AA432" s="193"/>
      <c r="AB432" s="193"/>
      <c r="AC432" s="193"/>
      <c r="AD432" s="193"/>
    </row>
    <row r="433" ht="18.75" customHeight="1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  <c r="AB433" s="193"/>
      <c r="AC433" s="193"/>
      <c r="AD433" s="193"/>
    </row>
    <row r="434" ht="18.75" customHeight="1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  <c r="AB434" s="193"/>
      <c r="AC434" s="193"/>
      <c r="AD434" s="193"/>
    </row>
    <row r="435" ht="18.75" customHeight="1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  <c r="AB435" s="193"/>
      <c r="AC435" s="193"/>
      <c r="AD435" s="193"/>
    </row>
    <row r="436" ht="18.75" customHeight="1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  <c r="AB436" s="193"/>
      <c r="AC436" s="193"/>
      <c r="AD436" s="193"/>
    </row>
    <row r="437" ht="18.75" customHeight="1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  <c r="AB437" s="193"/>
      <c r="AC437" s="193"/>
      <c r="AD437" s="193"/>
    </row>
    <row r="438" ht="18.75" customHeight="1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  <c r="AB438" s="193"/>
      <c r="AC438" s="193"/>
      <c r="AD438" s="193"/>
    </row>
    <row r="439" ht="18.75" customHeight="1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  <c r="AA439" s="193"/>
      <c r="AB439" s="193"/>
      <c r="AC439" s="193"/>
      <c r="AD439" s="193"/>
    </row>
    <row r="440" ht="18.75" customHeight="1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  <c r="AA440" s="193"/>
      <c r="AB440" s="193"/>
      <c r="AC440" s="193"/>
      <c r="AD440" s="193"/>
    </row>
    <row r="441" ht="18.75" customHeight="1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  <c r="AA441" s="193"/>
      <c r="AB441" s="193"/>
      <c r="AC441" s="193"/>
      <c r="AD441" s="193"/>
    </row>
    <row r="442" ht="18.75" customHeight="1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  <c r="AA442" s="193"/>
      <c r="AB442" s="193"/>
      <c r="AC442" s="193"/>
      <c r="AD442" s="193"/>
    </row>
    <row r="443" ht="18.75" customHeight="1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  <c r="AA443" s="193"/>
      <c r="AB443" s="193"/>
      <c r="AC443" s="193"/>
      <c r="AD443" s="193"/>
    </row>
    <row r="444" ht="18.75" customHeight="1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  <c r="AA444" s="193"/>
      <c r="AB444" s="193"/>
      <c r="AC444" s="193"/>
      <c r="AD444" s="193"/>
    </row>
    <row r="445" ht="18.75" customHeight="1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  <c r="AA445" s="193"/>
      <c r="AB445" s="193"/>
      <c r="AC445" s="193"/>
      <c r="AD445" s="193"/>
    </row>
    <row r="446" ht="18.75" customHeight="1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  <c r="AA446" s="193"/>
      <c r="AB446" s="193"/>
      <c r="AC446" s="193"/>
      <c r="AD446" s="193"/>
    </row>
    <row r="447" ht="18.75" customHeight="1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  <c r="AA447" s="193"/>
      <c r="AB447" s="193"/>
      <c r="AC447" s="193"/>
      <c r="AD447" s="193"/>
    </row>
    <row r="448" ht="18.75" customHeight="1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  <c r="AA448" s="193"/>
      <c r="AB448" s="193"/>
      <c r="AC448" s="193"/>
      <c r="AD448" s="193"/>
    </row>
    <row r="449" ht="18.75" customHeight="1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  <c r="AA449" s="193"/>
      <c r="AB449" s="193"/>
      <c r="AC449" s="193"/>
      <c r="AD449" s="193"/>
    </row>
    <row r="450" ht="18.75" customHeight="1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  <c r="AA450" s="193"/>
      <c r="AB450" s="193"/>
      <c r="AC450" s="193"/>
      <c r="AD450" s="193"/>
    </row>
    <row r="451" ht="18.75" customHeight="1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  <c r="AA451" s="193"/>
      <c r="AB451" s="193"/>
      <c r="AC451" s="193"/>
      <c r="AD451" s="193"/>
    </row>
    <row r="452" ht="18.75" customHeight="1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  <c r="AA452" s="193"/>
      <c r="AB452" s="193"/>
      <c r="AC452" s="193"/>
      <c r="AD452" s="193"/>
    </row>
    <row r="453" ht="18.75" customHeight="1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  <c r="AA453" s="193"/>
      <c r="AB453" s="193"/>
      <c r="AC453" s="193"/>
      <c r="AD453" s="193"/>
    </row>
    <row r="454" ht="18.75" customHeight="1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  <c r="AA454" s="193"/>
      <c r="AB454" s="193"/>
      <c r="AC454" s="193"/>
      <c r="AD454" s="193"/>
    </row>
    <row r="455" ht="18.75" customHeight="1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  <c r="AA455" s="193"/>
      <c r="AB455" s="193"/>
      <c r="AC455" s="193"/>
      <c r="AD455" s="193"/>
    </row>
    <row r="456" ht="18.75" customHeight="1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  <c r="AA456" s="193"/>
      <c r="AB456" s="193"/>
      <c r="AC456" s="193"/>
      <c r="AD456" s="193"/>
    </row>
    <row r="457" ht="18.75" customHeight="1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  <c r="AA457" s="193"/>
      <c r="AB457" s="193"/>
      <c r="AC457" s="193"/>
      <c r="AD457" s="193"/>
    </row>
    <row r="458" ht="18.75" customHeight="1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  <c r="AA458" s="193"/>
      <c r="AB458" s="193"/>
      <c r="AC458" s="193"/>
      <c r="AD458" s="193"/>
    </row>
    <row r="459" ht="18.75" customHeight="1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  <c r="AA459" s="193"/>
      <c r="AB459" s="193"/>
      <c r="AC459" s="193"/>
      <c r="AD459" s="193"/>
    </row>
    <row r="460" ht="18.75" customHeight="1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  <c r="AA460" s="193"/>
      <c r="AB460" s="193"/>
      <c r="AC460" s="193"/>
      <c r="AD460" s="193"/>
    </row>
    <row r="461" ht="18.75" customHeight="1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  <c r="AA461" s="193"/>
      <c r="AB461" s="193"/>
      <c r="AC461" s="193"/>
      <c r="AD461" s="193"/>
    </row>
    <row r="462" ht="18.75" customHeight="1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  <c r="AA462" s="193"/>
      <c r="AB462" s="193"/>
      <c r="AC462" s="193"/>
      <c r="AD462" s="193"/>
    </row>
    <row r="463" ht="18.75" customHeight="1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  <c r="AA463" s="193"/>
      <c r="AB463" s="193"/>
      <c r="AC463" s="193"/>
      <c r="AD463" s="193"/>
    </row>
    <row r="464" ht="18.75" customHeight="1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  <c r="AA464" s="193"/>
      <c r="AB464" s="193"/>
      <c r="AC464" s="193"/>
      <c r="AD464" s="193"/>
    </row>
    <row r="465" ht="18.75" customHeight="1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  <c r="AA465" s="193"/>
      <c r="AB465" s="193"/>
      <c r="AC465" s="193"/>
      <c r="AD465" s="193"/>
    </row>
    <row r="466" ht="18.75" customHeight="1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  <c r="AA466" s="193"/>
      <c r="AB466" s="193"/>
      <c r="AC466" s="193"/>
      <c r="AD466" s="193"/>
    </row>
    <row r="467" ht="18.75" customHeight="1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  <c r="AA467" s="193"/>
      <c r="AB467" s="193"/>
      <c r="AC467" s="193"/>
      <c r="AD467" s="193"/>
    </row>
    <row r="468" ht="18.75" customHeight="1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  <c r="AA468" s="193"/>
      <c r="AB468" s="193"/>
      <c r="AC468" s="193"/>
      <c r="AD468" s="193"/>
    </row>
    <row r="469" ht="18.75" customHeight="1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  <c r="AA469" s="193"/>
      <c r="AB469" s="193"/>
      <c r="AC469" s="193"/>
      <c r="AD469" s="193"/>
    </row>
    <row r="470" ht="18.75" customHeight="1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  <c r="AA470" s="193"/>
      <c r="AB470" s="193"/>
      <c r="AC470" s="193"/>
      <c r="AD470" s="193"/>
    </row>
    <row r="471" ht="18.75" customHeight="1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  <c r="AA471" s="193"/>
      <c r="AB471" s="193"/>
      <c r="AC471" s="193"/>
      <c r="AD471" s="193"/>
    </row>
    <row r="472" ht="18.75" customHeight="1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  <c r="AA472" s="193"/>
      <c r="AB472" s="193"/>
      <c r="AC472" s="193"/>
      <c r="AD472" s="193"/>
    </row>
    <row r="473" ht="18.75" customHeight="1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  <c r="AA473" s="193"/>
      <c r="AB473" s="193"/>
      <c r="AC473" s="193"/>
      <c r="AD473" s="193"/>
    </row>
    <row r="474" ht="18.75" customHeight="1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  <c r="AA474" s="193"/>
      <c r="AB474" s="193"/>
      <c r="AC474" s="193"/>
      <c r="AD474" s="193"/>
    </row>
    <row r="475" ht="18.75" customHeight="1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  <c r="AA475" s="193"/>
      <c r="AB475" s="193"/>
      <c r="AC475" s="193"/>
      <c r="AD475" s="193"/>
    </row>
    <row r="476" ht="18.75" customHeight="1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  <c r="AA476" s="193"/>
      <c r="AB476" s="193"/>
      <c r="AC476" s="193"/>
      <c r="AD476" s="193"/>
    </row>
    <row r="477" ht="18.75" customHeight="1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  <c r="AA477" s="193"/>
      <c r="AB477" s="193"/>
      <c r="AC477" s="193"/>
      <c r="AD477" s="193"/>
    </row>
    <row r="478" ht="18.75" customHeight="1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  <c r="AA478" s="193"/>
      <c r="AB478" s="193"/>
      <c r="AC478" s="193"/>
      <c r="AD478" s="193"/>
    </row>
    <row r="479" ht="18.75" customHeight="1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  <c r="AA479" s="193"/>
      <c r="AB479" s="193"/>
      <c r="AC479" s="193"/>
      <c r="AD479" s="193"/>
    </row>
    <row r="480" ht="18.75" customHeight="1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  <c r="AA480" s="193"/>
      <c r="AB480" s="193"/>
      <c r="AC480" s="193"/>
      <c r="AD480" s="193"/>
    </row>
    <row r="481" ht="18.75" customHeight="1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  <c r="AA481" s="193"/>
      <c r="AB481" s="193"/>
      <c r="AC481" s="193"/>
      <c r="AD481" s="193"/>
    </row>
    <row r="482" ht="18.75" customHeight="1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  <c r="AA482" s="193"/>
      <c r="AB482" s="193"/>
      <c r="AC482" s="193"/>
      <c r="AD482" s="193"/>
    </row>
    <row r="483" ht="18.75" customHeight="1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  <c r="AA483" s="193"/>
      <c r="AB483" s="193"/>
      <c r="AC483" s="193"/>
      <c r="AD483" s="193"/>
    </row>
    <row r="484" ht="18.75" customHeight="1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  <c r="AA484" s="193"/>
      <c r="AB484" s="193"/>
      <c r="AC484" s="193"/>
      <c r="AD484" s="193"/>
    </row>
    <row r="485" ht="18.75" customHeight="1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  <c r="AB485" s="193"/>
      <c r="AC485" s="193"/>
      <c r="AD485" s="193"/>
    </row>
    <row r="486" ht="18.75" customHeight="1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  <c r="AA486" s="193"/>
      <c r="AB486" s="193"/>
      <c r="AC486" s="193"/>
      <c r="AD486" s="193"/>
    </row>
    <row r="487" ht="18.75" customHeight="1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  <c r="AA487" s="193"/>
      <c r="AB487" s="193"/>
      <c r="AC487" s="193"/>
      <c r="AD487" s="193"/>
    </row>
    <row r="488" ht="18.75" customHeight="1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  <c r="AA488" s="193"/>
      <c r="AB488" s="193"/>
      <c r="AC488" s="193"/>
      <c r="AD488" s="193"/>
    </row>
    <row r="489" ht="18.75" customHeight="1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  <c r="AB489" s="193"/>
      <c r="AC489" s="193"/>
      <c r="AD489" s="193"/>
    </row>
    <row r="490" ht="18.75" customHeight="1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  <c r="AA490" s="193"/>
      <c r="AB490" s="193"/>
      <c r="AC490" s="193"/>
      <c r="AD490" s="193"/>
    </row>
    <row r="491" ht="18.75" customHeight="1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  <c r="AA491" s="193"/>
      <c r="AB491" s="193"/>
      <c r="AC491" s="193"/>
      <c r="AD491" s="193"/>
    </row>
    <row r="492" ht="18.75" customHeight="1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  <c r="AB492" s="193"/>
      <c r="AC492" s="193"/>
      <c r="AD492" s="193"/>
    </row>
    <row r="493" ht="18.75" customHeight="1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  <c r="AB493" s="193"/>
      <c r="AC493" s="193"/>
      <c r="AD493" s="193"/>
    </row>
    <row r="494" ht="18.75" customHeight="1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  <c r="AB494" s="193"/>
      <c r="AC494" s="193"/>
      <c r="AD494" s="193"/>
    </row>
    <row r="495" ht="18.75" customHeight="1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  <c r="AA495" s="193"/>
      <c r="AB495" s="193"/>
      <c r="AC495" s="193"/>
      <c r="AD495" s="193"/>
    </row>
    <row r="496" ht="18.75" customHeight="1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  <c r="AA496" s="193"/>
      <c r="AB496" s="193"/>
      <c r="AC496" s="193"/>
      <c r="AD496" s="193"/>
    </row>
    <row r="497" ht="18.75" customHeight="1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  <c r="AA497" s="193"/>
      <c r="AB497" s="193"/>
      <c r="AC497" s="193"/>
      <c r="AD497" s="193"/>
    </row>
    <row r="498" ht="18.75" customHeight="1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  <c r="AA498" s="193"/>
      <c r="AB498" s="193"/>
      <c r="AC498" s="193"/>
      <c r="AD498" s="193"/>
    </row>
    <row r="499" ht="18.75" customHeight="1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  <c r="AA499" s="193"/>
      <c r="AB499" s="193"/>
      <c r="AC499" s="193"/>
      <c r="AD499" s="193"/>
    </row>
    <row r="500" ht="18.75" customHeight="1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  <c r="AA500" s="193"/>
      <c r="AB500" s="193"/>
      <c r="AC500" s="193"/>
      <c r="AD500" s="193"/>
    </row>
    <row r="501" ht="18.75" customHeight="1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  <c r="AA501" s="193"/>
      <c r="AB501" s="193"/>
      <c r="AC501" s="193"/>
      <c r="AD501" s="193"/>
    </row>
    <row r="502" ht="18.75" customHeight="1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  <c r="AA502" s="193"/>
      <c r="AB502" s="193"/>
      <c r="AC502" s="193"/>
      <c r="AD502" s="193"/>
    </row>
    <row r="503" ht="18.75" customHeight="1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  <c r="AA503" s="193"/>
      <c r="AB503" s="193"/>
      <c r="AC503" s="193"/>
      <c r="AD503" s="193"/>
    </row>
    <row r="504" ht="18.75" customHeight="1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  <c r="AA504" s="193"/>
      <c r="AB504" s="193"/>
      <c r="AC504" s="193"/>
      <c r="AD504" s="193"/>
    </row>
    <row r="505" ht="18.75" customHeight="1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  <c r="AA505" s="193"/>
      <c r="AB505" s="193"/>
      <c r="AC505" s="193"/>
      <c r="AD505" s="193"/>
    </row>
    <row r="506" ht="18.75" customHeight="1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  <c r="AA506" s="193"/>
      <c r="AB506" s="193"/>
      <c r="AC506" s="193"/>
      <c r="AD506" s="193"/>
    </row>
    <row r="507" ht="18.75" customHeight="1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  <c r="AA507" s="193"/>
      <c r="AB507" s="193"/>
      <c r="AC507" s="193"/>
      <c r="AD507" s="193"/>
    </row>
    <row r="508" ht="18.75" customHeight="1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  <c r="AB508" s="193"/>
      <c r="AC508" s="193"/>
      <c r="AD508" s="193"/>
    </row>
    <row r="509" ht="18.75" customHeight="1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  <c r="AA509" s="193"/>
      <c r="AB509" s="193"/>
      <c r="AC509" s="193"/>
      <c r="AD509" s="193"/>
    </row>
    <row r="510" ht="18.75" customHeight="1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  <c r="AA510" s="193"/>
      <c r="AB510" s="193"/>
      <c r="AC510" s="193"/>
      <c r="AD510" s="193"/>
    </row>
    <row r="511" ht="18.75" customHeight="1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  <c r="AA511" s="193"/>
      <c r="AB511" s="193"/>
      <c r="AC511" s="193"/>
      <c r="AD511" s="193"/>
    </row>
    <row r="512" ht="18.75" customHeight="1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  <c r="AA512" s="193"/>
      <c r="AB512" s="193"/>
      <c r="AC512" s="193"/>
      <c r="AD512" s="193"/>
    </row>
    <row r="513" ht="18.75" customHeight="1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  <c r="AA513" s="193"/>
      <c r="AB513" s="193"/>
      <c r="AC513" s="193"/>
      <c r="AD513" s="193"/>
    </row>
    <row r="514" ht="18.75" customHeight="1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  <c r="AA514" s="193"/>
      <c r="AB514" s="193"/>
      <c r="AC514" s="193"/>
      <c r="AD514" s="193"/>
    </row>
    <row r="515" ht="18.75" customHeight="1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  <c r="AA515" s="193"/>
      <c r="AB515" s="193"/>
      <c r="AC515" s="193"/>
      <c r="AD515" s="193"/>
    </row>
    <row r="516" ht="18.75" customHeight="1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  <c r="AA516" s="193"/>
      <c r="AB516" s="193"/>
      <c r="AC516" s="193"/>
      <c r="AD516" s="193"/>
    </row>
    <row r="517" ht="18.75" customHeight="1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  <c r="AA517" s="193"/>
      <c r="AB517" s="193"/>
      <c r="AC517" s="193"/>
      <c r="AD517" s="193"/>
    </row>
    <row r="518" ht="18.75" customHeight="1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  <c r="AA518" s="193"/>
      <c r="AB518" s="193"/>
      <c r="AC518" s="193"/>
      <c r="AD518" s="193"/>
    </row>
    <row r="519" ht="18.75" customHeight="1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  <c r="AA519" s="193"/>
      <c r="AB519" s="193"/>
      <c r="AC519" s="193"/>
      <c r="AD519" s="193"/>
    </row>
    <row r="520" ht="18.75" customHeight="1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  <c r="AA520" s="193"/>
      <c r="AB520" s="193"/>
      <c r="AC520" s="193"/>
      <c r="AD520" s="193"/>
    </row>
    <row r="521" ht="18.75" customHeight="1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  <c r="AA521" s="193"/>
      <c r="AB521" s="193"/>
      <c r="AC521" s="193"/>
      <c r="AD521" s="193"/>
    </row>
    <row r="522" ht="18.75" customHeight="1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  <c r="AA522" s="193"/>
      <c r="AB522" s="193"/>
      <c r="AC522" s="193"/>
      <c r="AD522" s="193"/>
    </row>
    <row r="523" ht="18.75" customHeight="1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  <c r="AA523" s="193"/>
      <c r="AB523" s="193"/>
      <c r="AC523" s="193"/>
      <c r="AD523" s="193"/>
    </row>
    <row r="524" ht="18.75" customHeight="1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  <c r="AA524" s="193"/>
      <c r="AB524" s="193"/>
      <c r="AC524" s="193"/>
      <c r="AD524" s="193"/>
    </row>
    <row r="525" ht="18.75" customHeight="1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  <c r="AA525" s="193"/>
      <c r="AB525" s="193"/>
      <c r="AC525" s="193"/>
      <c r="AD525" s="193"/>
    </row>
    <row r="526" ht="18.75" customHeight="1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  <c r="AA526" s="193"/>
      <c r="AB526" s="193"/>
      <c r="AC526" s="193"/>
      <c r="AD526" s="193"/>
    </row>
    <row r="527" ht="18.75" customHeight="1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  <c r="AA527" s="193"/>
      <c r="AB527" s="193"/>
      <c r="AC527" s="193"/>
      <c r="AD527" s="193"/>
    </row>
    <row r="528" ht="18.75" customHeight="1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  <c r="AA528" s="193"/>
      <c r="AB528" s="193"/>
      <c r="AC528" s="193"/>
      <c r="AD528" s="193"/>
    </row>
    <row r="529" ht="18.75" customHeight="1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  <c r="AA529" s="193"/>
      <c r="AB529" s="193"/>
      <c r="AC529" s="193"/>
      <c r="AD529" s="193"/>
    </row>
    <row r="530" ht="18.75" customHeight="1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  <c r="AA530" s="193"/>
      <c r="AB530" s="193"/>
      <c r="AC530" s="193"/>
      <c r="AD530" s="193"/>
    </row>
    <row r="531" ht="18.75" customHeight="1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  <c r="AA531" s="193"/>
      <c r="AB531" s="193"/>
      <c r="AC531" s="193"/>
      <c r="AD531" s="193"/>
    </row>
    <row r="532" ht="18.75" customHeight="1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  <c r="AA532" s="193"/>
      <c r="AB532" s="193"/>
      <c r="AC532" s="193"/>
      <c r="AD532" s="193"/>
    </row>
    <row r="533" ht="18.75" customHeight="1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  <c r="AA533" s="193"/>
      <c r="AB533" s="193"/>
      <c r="AC533" s="193"/>
      <c r="AD533" s="193"/>
    </row>
    <row r="534" ht="18.75" customHeight="1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  <c r="AA534" s="193"/>
      <c r="AB534" s="193"/>
      <c r="AC534" s="193"/>
      <c r="AD534" s="193"/>
    </row>
    <row r="535" ht="18.75" customHeight="1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  <c r="AA535" s="193"/>
      <c r="AB535" s="193"/>
      <c r="AC535" s="193"/>
      <c r="AD535" s="193"/>
    </row>
    <row r="536" ht="18.75" customHeight="1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  <c r="AA536" s="193"/>
      <c r="AB536" s="193"/>
      <c r="AC536" s="193"/>
      <c r="AD536" s="193"/>
    </row>
    <row r="537" ht="18.75" customHeight="1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  <c r="AA537" s="193"/>
      <c r="AB537" s="193"/>
      <c r="AC537" s="193"/>
      <c r="AD537" s="193"/>
    </row>
    <row r="538" ht="18.75" customHeight="1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  <c r="AA538" s="193"/>
      <c r="AB538" s="193"/>
      <c r="AC538" s="193"/>
      <c r="AD538" s="193"/>
    </row>
    <row r="539" ht="18.75" customHeight="1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  <c r="AA539" s="193"/>
      <c r="AB539" s="193"/>
      <c r="AC539" s="193"/>
      <c r="AD539" s="193"/>
    </row>
    <row r="540" ht="18.75" customHeight="1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  <c r="AA540" s="193"/>
      <c r="AB540" s="193"/>
      <c r="AC540" s="193"/>
      <c r="AD540" s="193"/>
    </row>
    <row r="541" ht="18.75" customHeight="1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  <c r="AA541" s="193"/>
      <c r="AB541" s="193"/>
      <c r="AC541" s="193"/>
      <c r="AD541" s="193"/>
    </row>
    <row r="542" ht="18.75" customHeight="1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  <c r="AA542" s="193"/>
      <c r="AB542" s="193"/>
      <c r="AC542" s="193"/>
      <c r="AD542" s="193"/>
    </row>
    <row r="543" ht="18.75" customHeight="1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  <c r="AA543" s="193"/>
      <c r="AB543" s="193"/>
      <c r="AC543" s="193"/>
      <c r="AD543" s="193"/>
    </row>
    <row r="544" ht="18.75" customHeight="1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  <c r="AA544" s="193"/>
      <c r="AB544" s="193"/>
      <c r="AC544" s="193"/>
      <c r="AD544" s="193"/>
    </row>
    <row r="545" ht="18.75" customHeight="1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  <c r="AA545" s="193"/>
      <c r="AB545" s="193"/>
      <c r="AC545" s="193"/>
      <c r="AD545" s="193"/>
    </row>
    <row r="546" ht="18.75" customHeight="1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  <c r="AA546" s="193"/>
      <c r="AB546" s="193"/>
      <c r="AC546" s="193"/>
      <c r="AD546" s="193"/>
    </row>
    <row r="547" ht="18.75" customHeight="1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  <c r="AA547" s="193"/>
      <c r="AB547" s="193"/>
      <c r="AC547" s="193"/>
      <c r="AD547" s="193"/>
    </row>
    <row r="548" ht="18.75" customHeight="1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  <c r="AA548" s="193"/>
      <c r="AB548" s="193"/>
      <c r="AC548" s="193"/>
      <c r="AD548" s="193"/>
    </row>
    <row r="549" ht="18.75" customHeight="1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  <c r="AA549" s="193"/>
      <c r="AB549" s="193"/>
      <c r="AC549" s="193"/>
      <c r="AD549" s="193"/>
    </row>
    <row r="550" ht="18.75" customHeight="1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  <c r="AA550" s="193"/>
      <c r="AB550" s="193"/>
      <c r="AC550" s="193"/>
      <c r="AD550" s="193"/>
    </row>
    <row r="551" ht="18.75" customHeight="1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  <c r="AA551" s="193"/>
      <c r="AB551" s="193"/>
      <c r="AC551" s="193"/>
      <c r="AD551" s="193"/>
    </row>
    <row r="552" ht="18.75" customHeight="1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  <c r="AA552" s="193"/>
      <c r="AB552" s="193"/>
      <c r="AC552" s="193"/>
      <c r="AD552" s="193"/>
    </row>
    <row r="553" ht="18.75" customHeight="1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  <c r="AA553" s="193"/>
      <c r="AB553" s="193"/>
      <c r="AC553" s="193"/>
      <c r="AD553" s="193"/>
    </row>
    <row r="554" ht="18.75" customHeight="1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  <c r="AA554" s="193"/>
      <c r="AB554" s="193"/>
      <c r="AC554" s="193"/>
      <c r="AD554" s="193"/>
    </row>
    <row r="555" ht="18.75" customHeight="1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  <c r="AA555" s="193"/>
      <c r="AB555" s="193"/>
      <c r="AC555" s="193"/>
      <c r="AD555" s="193"/>
    </row>
    <row r="556" ht="18.75" customHeight="1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  <c r="AA556" s="193"/>
      <c r="AB556" s="193"/>
      <c r="AC556" s="193"/>
      <c r="AD556" s="193"/>
    </row>
    <row r="557" ht="18.75" customHeight="1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  <c r="AA557" s="193"/>
      <c r="AB557" s="193"/>
      <c r="AC557" s="193"/>
      <c r="AD557" s="193"/>
    </row>
    <row r="558" ht="18.75" customHeight="1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  <c r="AA558" s="193"/>
      <c r="AB558" s="193"/>
      <c r="AC558" s="193"/>
      <c r="AD558" s="193"/>
    </row>
    <row r="559" ht="18.75" customHeight="1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  <c r="AA559" s="193"/>
      <c r="AB559" s="193"/>
      <c r="AC559" s="193"/>
      <c r="AD559" s="193"/>
    </row>
    <row r="560" ht="18.75" customHeight="1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  <c r="AA560" s="193"/>
      <c r="AB560" s="193"/>
      <c r="AC560" s="193"/>
      <c r="AD560" s="193"/>
    </row>
    <row r="561" ht="18.75" customHeight="1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  <c r="AA561" s="193"/>
      <c r="AB561" s="193"/>
      <c r="AC561" s="193"/>
      <c r="AD561" s="193"/>
    </row>
    <row r="562" ht="18.75" customHeight="1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  <c r="AA562" s="193"/>
      <c r="AB562" s="193"/>
      <c r="AC562" s="193"/>
      <c r="AD562" s="193"/>
    </row>
    <row r="563" ht="18.75" customHeight="1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  <c r="AA563" s="193"/>
      <c r="AB563" s="193"/>
      <c r="AC563" s="193"/>
      <c r="AD563" s="193"/>
    </row>
    <row r="564" ht="18.75" customHeight="1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  <c r="AA564" s="193"/>
      <c r="AB564" s="193"/>
      <c r="AC564" s="193"/>
      <c r="AD564" s="193"/>
    </row>
    <row r="565" ht="18.75" customHeight="1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  <c r="AA565" s="193"/>
      <c r="AB565" s="193"/>
      <c r="AC565" s="193"/>
      <c r="AD565" s="193"/>
    </row>
    <row r="566" ht="18.75" customHeight="1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  <c r="AA566" s="193"/>
      <c r="AB566" s="193"/>
      <c r="AC566" s="193"/>
      <c r="AD566" s="193"/>
    </row>
    <row r="567" ht="18.75" customHeight="1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  <c r="AA567" s="193"/>
      <c r="AB567" s="193"/>
      <c r="AC567" s="193"/>
      <c r="AD567" s="193"/>
    </row>
    <row r="568" ht="18.75" customHeight="1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  <c r="AA568" s="193"/>
      <c r="AB568" s="193"/>
      <c r="AC568" s="193"/>
      <c r="AD568" s="193"/>
    </row>
    <row r="569" ht="18.75" customHeight="1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  <c r="AA569" s="193"/>
      <c r="AB569" s="193"/>
      <c r="AC569" s="193"/>
      <c r="AD569" s="193"/>
    </row>
    <row r="570" ht="18.75" customHeight="1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  <c r="AA570" s="193"/>
      <c r="AB570" s="193"/>
      <c r="AC570" s="193"/>
      <c r="AD570" s="193"/>
    </row>
    <row r="571" ht="18.75" customHeight="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  <c r="AA571" s="193"/>
      <c r="AB571" s="193"/>
      <c r="AC571" s="193"/>
      <c r="AD571" s="193"/>
    </row>
    <row r="572" ht="18.75" customHeight="1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  <c r="AA572" s="193"/>
      <c r="AB572" s="193"/>
      <c r="AC572" s="193"/>
      <c r="AD572" s="193"/>
    </row>
    <row r="573" ht="18.75" customHeight="1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  <c r="AA573" s="193"/>
      <c r="AB573" s="193"/>
      <c r="AC573" s="193"/>
      <c r="AD573" s="193"/>
    </row>
    <row r="574" ht="18.75" customHeight="1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  <c r="AA574" s="193"/>
      <c r="AB574" s="193"/>
      <c r="AC574" s="193"/>
      <c r="AD574" s="193"/>
    </row>
    <row r="575" ht="18.75" customHeight="1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  <c r="AA575" s="193"/>
      <c r="AB575" s="193"/>
      <c r="AC575" s="193"/>
      <c r="AD575" s="193"/>
    </row>
    <row r="576" ht="18.75" customHeight="1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  <c r="AA576" s="193"/>
      <c r="AB576" s="193"/>
      <c r="AC576" s="193"/>
      <c r="AD576" s="193"/>
    </row>
    <row r="577" ht="18.75" customHeight="1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  <c r="AA577" s="193"/>
      <c r="AB577" s="193"/>
      <c r="AC577" s="193"/>
      <c r="AD577" s="193"/>
    </row>
    <row r="578" ht="18.75" customHeight="1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  <c r="AA578" s="193"/>
      <c r="AB578" s="193"/>
      <c r="AC578" s="193"/>
      <c r="AD578" s="193"/>
    </row>
    <row r="579" ht="18.75" customHeight="1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  <c r="AA579" s="193"/>
      <c r="AB579" s="193"/>
      <c r="AC579" s="193"/>
      <c r="AD579" s="193"/>
    </row>
    <row r="580" ht="18.75" customHeight="1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  <c r="AA580" s="193"/>
      <c r="AB580" s="193"/>
      <c r="AC580" s="193"/>
      <c r="AD580" s="193"/>
    </row>
    <row r="581" ht="18.75" customHeight="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  <c r="AA581" s="193"/>
      <c r="AB581" s="193"/>
      <c r="AC581" s="193"/>
      <c r="AD581" s="193"/>
    </row>
    <row r="582" ht="18.75" customHeight="1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  <c r="AA582" s="193"/>
      <c r="AB582" s="193"/>
      <c r="AC582" s="193"/>
      <c r="AD582" s="193"/>
    </row>
    <row r="583" ht="18.75" customHeight="1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  <c r="AA583" s="193"/>
      <c r="AB583" s="193"/>
      <c r="AC583" s="193"/>
      <c r="AD583" s="193"/>
    </row>
    <row r="584" ht="18.75" customHeight="1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  <c r="AA584" s="193"/>
      <c r="AB584" s="193"/>
      <c r="AC584" s="193"/>
      <c r="AD584" s="193"/>
    </row>
    <row r="585" ht="18.75" customHeight="1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  <c r="AA585" s="193"/>
      <c r="AB585" s="193"/>
      <c r="AC585" s="193"/>
      <c r="AD585" s="193"/>
    </row>
    <row r="586" ht="18.75" customHeight="1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  <c r="AA586" s="193"/>
      <c r="AB586" s="193"/>
      <c r="AC586" s="193"/>
      <c r="AD586" s="193"/>
    </row>
    <row r="587" ht="18.75" customHeight="1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  <c r="AA587" s="193"/>
      <c r="AB587" s="193"/>
      <c r="AC587" s="193"/>
      <c r="AD587" s="193"/>
    </row>
    <row r="588" ht="18.75" customHeight="1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  <c r="AA588" s="193"/>
      <c r="AB588" s="193"/>
      <c r="AC588" s="193"/>
      <c r="AD588" s="193"/>
    </row>
    <row r="589" ht="18.75" customHeight="1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  <c r="AA589" s="193"/>
      <c r="AB589" s="193"/>
      <c r="AC589" s="193"/>
      <c r="AD589" s="193"/>
    </row>
    <row r="590" ht="18.75" customHeight="1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  <c r="AA590" s="193"/>
      <c r="AB590" s="193"/>
      <c r="AC590" s="193"/>
      <c r="AD590" s="193"/>
    </row>
    <row r="591" ht="18.75" customHeight="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  <c r="AA591" s="193"/>
      <c r="AB591" s="193"/>
      <c r="AC591" s="193"/>
      <c r="AD591" s="193"/>
    </row>
    <row r="592" ht="18.75" customHeight="1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  <c r="AA592" s="193"/>
      <c r="AB592" s="193"/>
      <c r="AC592" s="193"/>
      <c r="AD592" s="193"/>
    </row>
    <row r="593" ht="18.75" customHeight="1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  <c r="AA593" s="193"/>
      <c r="AB593" s="193"/>
      <c r="AC593" s="193"/>
      <c r="AD593" s="193"/>
    </row>
    <row r="594" ht="18.75" customHeight="1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  <c r="AA594" s="193"/>
      <c r="AB594" s="193"/>
      <c r="AC594" s="193"/>
      <c r="AD594" s="193"/>
    </row>
    <row r="595" ht="18.75" customHeight="1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  <c r="AA595" s="193"/>
      <c r="AB595" s="193"/>
      <c r="AC595" s="193"/>
      <c r="AD595" s="193"/>
    </row>
    <row r="596" ht="18.75" customHeight="1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  <c r="AA596" s="193"/>
      <c r="AB596" s="193"/>
      <c r="AC596" s="193"/>
      <c r="AD596" s="193"/>
    </row>
    <row r="597" ht="18.75" customHeight="1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  <c r="AA597" s="193"/>
      <c r="AB597" s="193"/>
      <c r="AC597" s="193"/>
      <c r="AD597" s="193"/>
    </row>
    <row r="598" ht="18.75" customHeight="1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  <c r="AA598" s="193"/>
      <c r="AB598" s="193"/>
      <c r="AC598" s="193"/>
      <c r="AD598" s="193"/>
    </row>
    <row r="599" ht="18.75" customHeight="1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  <c r="AA599" s="193"/>
      <c r="AB599" s="193"/>
      <c r="AC599" s="193"/>
      <c r="AD599" s="193"/>
    </row>
    <row r="600" ht="18.75" customHeight="1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  <c r="AA600" s="193"/>
      <c r="AB600" s="193"/>
      <c r="AC600" s="193"/>
      <c r="AD600" s="193"/>
    </row>
    <row r="601" ht="18.75" customHeight="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  <c r="AA601" s="193"/>
      <c r="AB601" s="193"/>
      <c r="AC601" s="193"/>
      <c r="AD601" s="193"/>
    </row>
    <row r="602" ht="18.75" customHeight="1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  <c r="AA602" s="193"/>
      <c r="AB602" s="193"/>
      <c r="AC602" s="193"/>
      <c r="AD602" s="193"/>
    </row>
    <row r="603" ht="18.75" customHeight="1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  <c r="AA603" s="193"/>
      <c r="AB603" s="193"/>
      <c r="AC603" s="193"/>
      <c r="AD603" s="193"/>
    </row>
    <row r="604" ht="18.75" customHeight="1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  <c r="AA604" s="193"/>
      <c r="AB604" s="193"/>
      <c r="AC604" s="193"/>
      <c r="AD604" s="193"/>
    </row>
    <row r="605" ht="18.75" customHeight="1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  <c r="AA605" s="193"/>
      <c r="AB605" s="193"/>
      <c r="AC605" s="193"/>
      <c r="AD605" s="193"/>
    </row>
    <row r="606" ht="18.75" customHeight="1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  <c r="AA606" s="193"/>
      <c r="AB606" s="193"/>
      <c r="AC606" s="193"/>
      <c r="AD606" s="193"/>
    </row>
    <row r="607" ht="18.75" customHeight="1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  <c r="AA607" s="193"/>
      <c r="AB607" s="193"/>
      <c r="AC607" s="193"/>
      <c r="AD607" s="193"/>
    </row>
    <row r="608" ht="18.75" customHeight="1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  <c r="AA608" s="193"/>
      <c r="AB608" s="193"/>
      <c r="AC608" s="193"/>
      <c r="AD608" s="193"/>
    </row>
    <row r="609" ht="18.75" customHeight="1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  <c r="AA609" s="193"/>
      <c r="AB609" s="193"/>
      <c r="AC609" s="193"/>
      <c r="AD609" s="193"/>
    </row>
    <row r="610" ht="18.75" customHeight="1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  <c r="AA610" s="193"/>
      <c r="AB610" s="193"/>
      <c r="AC610" s="193"/>
      <c r="AD610" s="193"/>
    </row>
    <row r="611" ht="18.75" customHeight="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  <c r="AA611" s="193"/>
      <c r="AB611" s="193"/>
      <c r="AC611" s="193"/>
      <c r="AD611" s="193"/>
    </row>
    <row r="612" ht="18.75" customHeight="1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  <c r="AA612" s="193"/>
      <c r="AB612" s="193"/>
      <c r="AC612" s="193"/>
      <c r="AD612" s="193"/>
    </row>
    <row r="613" ht="18.75" customHeight="1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  <c r="AA613" s="193"/>
      <c r="AB613" s="193"/>
      <c r="AC613" s="193"/>
      <c r="AD613" s="193"/>
    </row>
    <row r="614" ht="18.75" customHeight="1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  <c r="AA614" s="193"/>
      <c r="AB614" s="193"/>
      <c r="AC614" s="193"/>
      <c r="AD614" s="193"/>
    </row>
    <row r="615" ht="18.75" customHeight="1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  <c r="AA615" s="193"/>
      <c r="AB615" s="193"/>
      <c r="AC615" s="193"/>
      <c r="AD615" s="193"/>
    </row>
    <row r="616" ht="18.75" customHeight="1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  <c r="AA616" s="193"/>
      <c r="AB616" s="193"/>
      <c r="AC616" s="193"/>
      <c r="AD616" s="193"/>
    </row>
    <row r="617" ht="18.75" customHeight="1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  <c r="AA617" s="193"/>
      <c r="AB617" s="193"/>
      <c r="AC617" s="193"/>
      <c r="AD617" s="193"/>
    </row>
    <row r="618" ht="18.75" customHeight="1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  <c r="AA618" s="193"/>
      <c r="AB618" s="193"/>
      <c r="AC618" s="193"/>
      <c r="AD618" s="193"/>
    </row>
    <row r="619" ht="18.75" customHeight="1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  <c r="AA619" s="193"/>
      <c r="AB619" s="193"/>
      <c r="AC619" s="193"/>
      <c r="AD619" s="193"/>
    </row>
    <row r="620" ht="18.75" customHeight="1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  <c r="AA620" s="193"/>
      <c r="AB620" s="193"/>
      <c r="AC620" s="193"/>
      <c r="AD620" s="193"/>
    </row>
    <row r="621" ht="18.75" customHeight="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  <c r="AA621" s="193"/>
      <c r="AB621" s="193"/>
      <c r="AC621" s="193"/>
      <c r="AD621" s="193"/>
    </row>
    <row r="622" ht="18.75" customHeight="1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  <c r="AA622" s="193"/>
      <c r="AB622" s="193"/>
      <c r="AC622" s="193"/>
      <c r="AD622" s="193"/>
    </row>
    <row r="623" ht="18.75" customHeight="1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  <c r="AA623" s="193"/>
      <c r="AB623" s="193"/>
      <c r="AC623" s="193"/>
      <c r="AD623" s="193"/>
    </row>
    <row r="624" ht="18.75" customHeight="1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  <c r="AA624" s="193"/>
      <c r="AB624" s="193"/>
      <c r="AC624" s="193"/>
      <c r="AD624" s="193"/>
    </row>
    <row r="625" ht="18.75" customHeight="1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  <c r="AA625" s="193"/>
      <c r="AB625" s="193"/>
      <c r="AC625" s="193"/>
      <c r="AD625" s="193"/>
    </row>
    <row r="626" ht="18.75" customHeight="1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  <c r="AA626" s="193"/>
      <c r="AB626" s="193"/>
      <c r="AC626" s="193"/>
      <c r="AD626" s="193"/>
    </row>
    <row r="627" ht="18.75" customHeight="1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  <c r="AA627" s="193"/>
      <c r="AB627" s="193"/>
      <c r="AC627" s="193"/>
      <c r="AD627" s="193"/>
    </row>
    <row r="628" ht="18.75" customHeight="1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  <c r="AA628" s="193"/>
      <c r="AB628" s="193"/>
      <c r="AC628" s="193"/>
      <c r="AD628" s="193"/>
    </row>
    <row r="629" ht="18.75" customHeight="1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  <c r="AA629" s="193"/>
      <c r="AB629" s="193"/>
      <c r="AC629" s="193"/>
      <c r="AD629" s="193"/>
    </row>
    <row r="630" ht="18.75" customHeight="1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  <c r="AA630" s="193"/>
      <c r="AB630" s="193"/>
      <c r="AC630" s="193"/>
      <c r="AD630" s="193"/>
    </row>
    <row r="631" ht="18.75" customHeight="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  <c r="AA631" s="193"/>
      <c r="AB631" s="193"/>
      <c r="AC631" s="193"/>
      <c r="AD631" s="193"/>
    </row>
    <row r="632" ht="18.75" customHeight="1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  <c r="AA632" s="193"/>
      <c r="AB632" s="193"/>
      <c r="AC632" s="193"/>
      <c r="AD632" s="193"/>
    </row>
    <row r="633" ht="18.75" customHeight="1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  <c r="AA633" s="193"/>
      <c r="AB633" s="193"/>
      <c r="AC633" s="193"/>
      <c r="AD633" s="193"/>
    </row>
    <row r="634" ht="18.75" customHeight="1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  <c r="AA634" s="193"/>
      <c r="AB634" s="193"/>
      <c r="AC634" s="193"/>
      <c r="AD634" s="193"/>
    </row>
    <row r="635" ht="18.75" customHeight="1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  <c r="AA635" s="193"/>
      <c r="AB635" s="193"/>
      <c r="AC635" s="193"/>
      <c r="AD635" s="193"/>
    </row>
    <row r="636" ht="18.75" customHeight="1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  <c r="AA636" s="193"/>
      <c r="AB636" s="193"/>
      <c r="AC636" s="193"/>
      <c r="AD636" s="193"/>
    </row>
    <row r="637" ht="18.75" customHeight="1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  <c r="AA637" s="193"/>
      <c r="AB637" s="193"/>
      <c r="AC637" s="193"/>
      <c r="AD637" s="193"/>
    </row>
    <row r="638" ht="18.75" customHeight="1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  <c r="AA638" s="193"/>
      <c r="AB638" s="193"/>
      <c r="AC638" s="193"/>
      <c r="AD638" s="193"/>
    </row>
    <row r="639" ht="18.75" customHeight="1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  <c r="AA639" s="193"/>
      <c r="AB639" s="193"/>
      <c r="AC639" s="193"/>
      <c r="AD639" s="193"/>
    </row>
    <row r="640" ht="18.75" customHeight="1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  <c r="AA640" s="193"/>
      <c r="AB640" s="193"/>
      <c r="AC640" s="193"/>
      <c r="AD640" s="193"/>
    </row>
    <row r="641" ht="18.75" customHeight="1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  <c r="AA641" s="193"/>
      <c r="AB641" s="193"/>
      <c r="AC641" s="193"/>
      <c r="AD641" s="193"/>
    </row>
    <row r="642" ht="18.75" customHeight="1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  <c r="AA642" s="193"/>
      <c r="AB642" s="193"/>
      <c r="AC642" s="193"/>
      <c r="AD642" s="193"/>
    </row>
    <row r="643" ht="18.75" customHeight="1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  <c r="AA643" s="193"/>
      <c r="AB643" s="193"/>
      <c r="AC643" s="193"/>
      <c r="AD643" s="193"/>
    </row>
    <row r="644" ht="18.75" customHeight="1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  <c r="AA644" s="193"/>
      <c r="AB644" s="193"/>
      <c r="AC644" s="193"/>
      <c r="AD644" s="193"/>
    </row>
    <row r="645" ht="18.75" customHeight="1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  <c r="AA645" s="193"/>
      <c r="AB645" s="193"/>
      <c r="AC645" s="193"/>
      <c r="AD645" s="193"/>
    </row>
    <row r="646" ht="18.75" customHeight="1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  <c r="AA646" s="193"/>
      <c r="AB646" s="193"/>
      <c r="AC646" s="193"/>
      <c r="AD646" s="193"/>
    </row>
    <row r="647" ht="18.75" customHeight="1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  <c r="AA647" s="193"/>
      <c r="AB647" s="193"/>
      <c r="AC647" s="193"/>
      <c r="AD647" s="193"/>
    </row>
    <row r="648" ht="18.75" customHeight="1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  <c r="AA648" s="193"/>
      <c r="AB648" s="193"/>
      <c r="AC648" s="193"/>
      <c r="AD648" s="193"/>
    </row>
    <row r="649" ht="18.75" customHeight="1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  <c r="AA649" s="193"/>
      <c r="AB649" s="193"/>
      <c r="AC649" s="193"/>
      <c r="AD649" s="193"/>
    </row>
    <row r="650" ht="18.75" customHeight="1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  <c r="AA650" s="193"/>
      <c r="AB650" s="193"/>
      <c r="AC650" s="193"/>
      <c r="AD650" s="193"/>
    </row>
    <row r="651" ht="18.75" customHeight="1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  <c r="AA651" s="193"/>
      <c r="AB651" s="193"/>
      <c r="AC651" s="193"/>
      <c r="AD651" s="193"/>
    </row>
    <row r="652" ht="18.75" customHeight="1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  <c r="AA652" s="193"/>
      <c r="AB652" s="193"/>
      <c r="AC652" s="193"/>
      <c r="AD652" s="193"/>
    </row>
    <row r="653" ht="18.75" customHeight="1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  <c r="AA653" s="193"/>
      <c r="AB653" s="193"/>
      <c r="AC653" s="193"/>
      <c r="AD653" s="193"/>
    </row>
    <row r="654" ht="18.75" customHeight="1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  <c r="AA654" s="193"/>
      <c r="AB654" s="193"/>
      <c r="AC654" s="193"/>
      <c r="AD654" s="193"/>
    </row>
    <row r="655" ht="18.75" customHeight="1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  <c r="AA655" s="193"/>
      <c r="AB655" s="193"/>
      <c r="AC655" s="193"/>
      <c r="AD655" s="193"/>
    </row>
    <row r="656" ht="18.75" customHeight="1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  <c r="AA656" s="193"/>
      <c r="AB656" s="193"/>
      <c r="AC656" s="193"/>
      <c r="AD656" s="193"/>
    </row>
    <row r="657" ht="18.75" customHeight="1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  <c r="AA657" s="193"/>
      <c r="AB657" s="193"/>
      <c r="AC657" s="193"/>
      <c r="AD657" s="193"/>
    </row>
    <row r="658" ht="18.75" customHeight="1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  <c r="AA658" s="193"/>
      <c r="AB658" s="193"/>
      <c r="AC658" s="193"/>
      <c r="AD658" s="193"/>
    </row>
    <row r="659" ht="18.75" customHeight="1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  <c r="AA659" s="193"/>
      <c r="AB659" s="193"/>
      <c r="AC659" s="193"/>
      <c r="AD659" s="193"/>
    </row>
    <row r="660" ht="18.75" customHeight="1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  <c r="AA660" s="193"/>
      <c r="AB660" s="193"/>
      <c r="AC660" s="193"/>
      <c r="AD660" s="193"/>
    </row>
    <row r="661" ht="18.75" customHeight="1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  <c r="AA661" s="193"/>
      <c r="AB661" s="193"/>
      <c r="AC661" s="193"/>
      <c r="AD661" s="193"/>
    </row>
    <row r="662" ht="18.75" customHeight="1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  <c r="AA662" s="193"/>
      <c r="AB662" s="193"/>
      <c r="AC662" s="193"/>
      <c r="AD662" s="193"/>
    </row>
    <row r="663" ht="18.75" customHeight="1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  <c r="AA663" s="193"/>
      <c r="AB663" s="193"/>
      <c r="AC663" s="193"/>
      <c r="AD663" s="193"/>
    </row>
    <row r="664" ht="18.75" customHeight="1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  <c r="AA664" s="193"/>
      <c r="AB664" s="193"/>
      <c r="AC664" s="193"/>
      <c r="AD664" s="193"/>
    </row>
    <row r="665" ht="18.75" customHeight="1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  <c r="AA665" s="193"/>
      <c r="AB665" s="193"/>
      <c r="AC665" s="193"/>
      <c r="AD665" s="193"/>
    </row>
    <row r="666" ht="18.75" customHeight="1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  <c r="AA666" s="193"/>
      <c r="AB666" s="193"/>
      <c r="AC666" s="193"/>
      <c r="AD666" s="193"/>
    </row>
    <row r="667" ht="18.75" customHeight="1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  <c r="AA667" s="193"/>
      <c r="AB667" s="193"/>
      <c r="AC667" s="193"/>
      <c r="AD667" s="193"/>
    </row>
    <row r="668" ht="18.75" customHeight="1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  <c r="AA668" s="193"/>
      <c r="AB668" s="193"/>
      <c r="AC668" s="193"/>
      <c r="AD668" s="193"/>
    </row>
    <row r="669" ht="18.75" customHeight="1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  <c r="AA669" s="193"/>
      <c r="AB669" s="193"/>
      <c r="AC669" s="193"/>
      <c r="AD669" s="193"/>
    </row>
    <row r="670" ht="18.75" customHeight="1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  <c r="AA670" s="193"/>
      <c r="AB670" s="193"/>
      <c r="AC670" s="193"/>
      <c r="AD670" s="193"/>
    </row>
    <row r="671" ht="18.75" customHeight="1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  <c r="AA671" s="193"/>
      <c r="AB671" s="193"/>
      <c r="AC671" s="193"/>
      <c r="AD671" s="193"/>
    </row>
    <row r="672" ht="18.75" customHeight="1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  <c r="AA672" s="193"/>
      <c r="AB672" s="193"/>
      <c r="AC672" s="193"/>
      <c r="AD672" s="193"/>
    </row>
    <row r="673" ht="18.75" customHeight="1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  <c r="X673" s="193"/>
      <c r="Y673" s="193"/>
      <c r="Z673" s="193"/>
      <c r="AA673" s="193"/>
      <c r="AB673" s="193"/>
      <c r="AC673" s="193"/>
      <c r="AD673" s="193"/>
    </row>
    <row r="674" ht="18.75" customHeight="1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3"/>
      <c r="X674" s="193"/>
      <c r="Y674" s="193"/>
      <c r="Z674" s="193"/>
      <c r="AA674" s="193"/>
      <c r="AB674" s="193"/>
      <c r="AC674" s="193"/>
      <c r="AD674" s="193"/>
    </row>
    <row r="675" ht="18.75" customHeight="1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3"/>
      <c r="X675" s="193"/>
      <c r="Y675" s="193"/>
      <c r="Z675" s="193"/>
      <c r="AA675" s="193"/>
      <c r="AB675" s="193"/>
      <c r="AC675" s="193"/>
      <c r="AD675" s="193"/>
    </row>
    <row r="676" ht="18.75" customHeight="1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3"/>
      <c r="X676" s="193"/>
      <c r="Y676" s="193"/>
      <c r="Z676" s="193"/>
      <c r="AA676" s="193"/>
      <c r="AB676" s="193"/>
      <c r="AC676" s="193"/>
      <c r="AD676" s="193"/>
    </row>
    <row r="677" ht="18.75" customHeight="1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3"/>
      <c r="X677" s="193"/>
      <c r="Y677" s="193"/>
      <c r="Z677" s="193"/>
      <c r="AA677" s="193"/>
      <c r="AB677" s="193"/>
      <c r="AC677" s="193"/>
      <c r="AD677" s="193"/>
    </row>
    <row r="678" ht="18.75" customHeight="1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3"/>
      <c r="X678" s="193"/>
      <c r="Y678" s="193"/>
      <c r="Z678" s="193"/>
      <c r="AA678" s="193"/>
      <c r="AB678" s="193"/>
      <c r="AC678" s="193"/>
      <c r="AD678" s="193"/>
    </row>
    <row r="679" ht="18.75" customHeight="1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3"/>
      <c r="X679" s="193"/>
      <c r="Y679" s="193"/>
      <c r="Z679" s="193"/>
      <c r="AA679" s="193"/>
      <c r="AB679" s="193"/>
      <c r="AC679" s="193"/>
      <c r="AD679" s="193"/>
    </row>
    <row r="680" ht="18.75" customHeight="1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3"/>
      <c r="X680" s="193"/>
      <c r="Y680" s="193"/>
      <c r="Z680" s="193"/>
      <c r="AA680" s="193"/>
      <c r="AB680" s="193"/>
      <c r="AC680" s="193"/>
      <c r="AD680" s="193"/>
    </row>
    <row r="681" ht="18.75" customHeight="1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3"/>
      <c r="X681" s="193"/>
      <c r="Y681" s="193"/>
      <c r="Z681" s="193"/>
      <c r="AA681" s="193"/>
      <c r="AB681" s="193"/>
      <c r="AC681" s="193"/>
      <c r="AD681" s="193"/>
    </row>
    <row r="682" ht="18.75" customHeight="1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3"/>
      <c r="X682" s="193"/>
      <c r="Y682" s="193"/>
      <c r="Z682" s="193"/>
      <c r="AA682" s="193"/>
      <c r="AB682" s="193"/>
      <c r="AC682" s="193"/>
      <c r="AD682" s="193"/>
    </row>
    <row r="683" ht="18.75" customHeight="1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3"/>
      <c r="X683" s="193"/>
      <c r="Y683" s="193"/>
      <c r="Z683" s="193"/>
      <c r="AA683" s="193"/>
      <c r="AB683" s="193"/>
      <c r="AC683" s="193"/>
      <c r="AD683" s="193"/>
    </row>
    <row r="684" ht="18.75" customHeight="1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3"/>
      <c r="X684" s="193"/>
      <c r="Y684" s="193"/>
      <c r="Z684" s="193"/>
      <c r="AA684" s="193"/>
      <c r="AB684" s="193"/>
      <c r="AC684" s="193"/>
      <c r="AD684" s="193"/>
    </row>
    <row r="685" ht="18.75" customHeight="1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3"/>
      <c r="X685" s="193"/>
      <c r="Y685" s="193"/>
      <c r="Z685" s="193"/>
      <c r="AA685" s="193"/>
      <c r="AB685" s="193"/>
      <c r="AC685" s="193"/>
      <c r="AD685" s="193"/>
    </row>
    <row r="686" ht="18.75" customHeight="1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3"/>
      <c r="X686" s="193"/>
      <c r="Y686" s="193"/>
      <c r="Z686" s="193"/>
      <c r="AA686" s="193"/>
      <c r="AB686" s="193"/>
      <c r="AC686" s="193"/>
      <c r="AD686" s="193"/>
    </row>
    <row r="687" ht="18.75" customHeight="1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3"/>
      <c r="X687" s="193"/>
      <c r="Y687" s="193"/>
      <c r="Z687" s="193"/>
      <c r="AA687" s="193"/>
      <c r="AB687" s="193"/>
      <c r="AC687" s="193"/>
      <c r="AD687" s="193"/>
    </row>
    <row r="688" ht="18.75" customHeight="1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3"/>
      <c r="X688" s="193"/>
      <c r="Y688" s="193"/>
      <c r="Z688" s="193"/>
      <c r="AA688" s="193"/>
      <c r="AB688" s="193"/>
      <c r="AC688" s="193"/>
      <c r="AD688" s="193"/>
    </row>
    <row r="689" ht="18.75" customHeight="1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3"/>
      <c r="X689" s="193"/>
      <c r="Y689" s="193"/>
      <c r="Z689" s="193"/>
      <c r="AA689" s="193"/>
      <c r="AB689" s="193"/>
      <c r="AC689" s="193"/>
      <c r="AD689" s="193"/>
    </row>
    <row r="690" ht="18.75" customHeight="1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3"/>
      <c r="X690" s="193"/>
      <c r="Y690" s="193"/>
      <c r="Z690" s="193"/>
      <c r="AA690" s="193"/>
      <c r="AB690" s="193"/>
      <c r="AC690" s="193"/>
      <c r="AD690" s="193"/>
    </row>
    <row r="691" ht="18.75" customHeight="1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  <c r="X691" s="193"/>
      <c r="Y691" s="193"/>
      <c r="Z691" s="193"/>
      <c r="AA691" s="193"/>
      <c r="AB691" s="193"/>
      <c r="AC691" s="193"/>
      <c r="AD691" s="193"/>
    </row>
    <row r="692" ht="18.75" customHeight="1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3"/>
      <c r="X692" s="193"/>
      <c r="Y692" s="193"/>
      <c r="Z692" s="193"/>
      <c r="AA692" s="193"/>
      <c r="AB692" s="193"/>
      <c r="AC692" s="193"/>
      <c r="AD692" s="193"/>
    </row>
    <row r="693" ht="18.75" customHeight="1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3"/>
      <c r="X693" s="193"/>
      <c r="Y693" s="193"/>
      <c r="Z693" s="193"/>
      <c r="AA693" s="193"/>
      <c r="AB693" s="193"/>
      <c r="AC693" s="193"/>
      <c r="AD693" s="193"/>
    </row>
    <row r="694" ht="18.75" customHeight="1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3"/>
      <c r="X694" s="193"/>
      <c r="Y694" s="193"/>
      <c r="Z694" s="193"/>
      <c r="AA694" s="193"/>
      <c r="AB694" s="193"/>
      <c r="AC694" s="193"/>
      <c r="AD694" s="193"/>
    </row>
    <row r="695" ht="18.75" customHeight="1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3"/>
      <c r="X695" s="193"/>
      <c r="Y695" s="193"/>
      <c r="Z695" s="193"/>
      <c r="AA695" s="193"/>
      <c r="AB695" s="193"/>
      <c r="AC695" s="193"/>
      <c r="AD695" s="193"/>
    </row>
    <row r="696" ht="18.75" customHeight="1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3"/>
      <c r="X696" s="193"/>
      <c r="Y696" s="193"/>
      <c r="Z696" s="193"/>
      <c r="AA696" s="193"/>
      <c r="AB696" s="193"/>
      <c r="AC696" s="193"/>
      <c r="AD696" s="193"/>
    </row>
    <row r="697" ht="18.75" customHeight="1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3"/>
      <c r="X697" s="193"/>
      <c r="Y697" s="193"/>
      <c r="Z697" s="193"/>
      <c r="AA697" s="193"/>
      <c r="AB697" s="193"/>
      <c r="AC697" s="193"/>
      <c r="AD697" s="193"/>
    </row>
    <row r="698" ht="18.75" customHeight="1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3"/>
      <c r="X698" s="193"/>
      <c r="Y698" s="193"/>
      <c r="Z698" s="193"/>
      <c r="AA698" s="193"/>
      <c r="AB698" s="193"/>
      <c r="AC698" s="193"/>
      <c r="AD698" s="193"/>
    </row>
    <row r="699" ht="18.75" customHeight="1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3"/>
      <c r="X699" s="193"/>
      <c r="Y699" s="193"/>
      <c r="Z699" s="193"/>
      <c r="AA699" s="193"/>
      <c r="AB699" s="193"/>
      <c r="AC699" s="193"/>
      <c r="AD699" s="193"/>
    </row>
    <row r="700" ht="18.75" customHeight="1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3"/>
      <c r="X700" s="193"/>
      <c r="Y700" s="193"/>
      <c r="Z700" s="193"/>
      <c r="AA700" s="193"/>
      <c r="AB700" s="193"/>
      <c r="AC700" s="193"/>
      <c r="AD700" s="193"/>
    </row>
    <row r="701" ht="18.75" customHeight="1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3"/>
      <c r="X701" s="193"/>
      <c r="Y701" s="193"/>
      <c r="Z701" s="193"/>
      <c r="AA701" s="193"/>
      <c r="AB701" s="193"/>
      <c r="AC701" s="193"/>
      <c r="AD701" s="193"/>
    </row>
    <row r="702" ht="18.75" customHeight="1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3"/>
      <c r="X702" s="193"/>
      <c r="Y702" s="193"/>
      <c r="Z702" s="193"/>
      <c r="AA702" s="193"/>
      <c r="AB702" s="193"/>
      <c r="AC702" s="193"/>
      <c r="AD702" s="193"/>
    </row>
    <row r="703" ht="18.75" customHeight="1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3"/>
      <c r="X703" s="193"/>
      <c r="Y703" s="193"/>
      <c r="Z703" s="193"/>
      <c r="AA703" s="193"/>
      <c r="AB703" s="193"/>
      <c r="AC703" s="193"/>
      <c r="AD703" s="193"/>
    </row>
    <row r="704" ht="18.75" customHeight="1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3"/>
      <c r="X704" s="193"/>
      <c r="Y704" s="193"/>
      <c r="Z704" s="193"/>
      <c r="AA704" s="193"/>
      <c r="AB704" s="193"/>
      <c r="AC704" s="193"/>
      <c r="AD704" s="193"/>
    </row>
    <row r="705" ht="18.75" customHeight="1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3"/>
      <c r="X705" s="193"/>
      <c r="Y705" s="193"/>
      <c r="Z705" s="193"/>
      <c r="AA705" s="193"/>
      <c r="AB705" s="193"/>
      <c r="AC705" s="193"/>
      <c r="AD705" s="193"/>
    </row>
    <row r="706" ht="18.75" customHeight="1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3"/>
      <c r="X706" s="193"/>
      <c r="Y706" s="193"/>
      <c r="Z706" s="193"/>
      <c r="AA706" s="193"/>
      <c r="AB706" s="193"/>
      <c r="AC706" s="193"/>
      <c r="AD706" s="193"/>
    </row>
    <row r="707" ht="18.75" customHeight="1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3"/>
      <c r="X707" s="193"/>
      <c r="Y707" s="193"/>
      <c r="Z707" s="193"/>
      <c r="AA707" s="193"/>
      <c r="AB707" s="193"/>
      <c r="AC707" s="193"/>
      <c r="AD707" s="193"/>
    </row>
    <row r="708" ht="18.75" customHeight="1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3"/>
      <c r="X708" s="193"/>
      <c r="Y708" s="193"/>
      <c r="Z708" s="193"/>
      <c r="AA708" s="193"/>
      <c r="AB708" s="193"/>
      <c r="AC708" s="193"/>
      <c r="AD708" s="193"/>
    </row>
    <row r="709" ht="18.75" customHeight="1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3"/>
      <c r="X709" s="193"/>
      <c r="Y709" s="193"/>
      <c r="Z709" s="193"/>
      <c r="AA709" s="193"/>
      <c r="AB709" s="193"/>
      <c r="AC709" s="193"/>
      <c r="AD709" s="193"/>
    </row>
    <row r="710" ht="18.75" customHeight="1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3"/>
      <c r="X710" s="193"/>
      <c r="Y710" s="193"/>
      <c r="Z710" s="193"/>
      <c r="AA710" s="193"/>
      <c r="AB710" s="193"/>
      <c r="AC710" s="193"/>
      <c r="AD710" s="193"/>
    </row>
    <row r="711" ht="18.75" customHeight="1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3"/>
      <c r="X711" s="193"/>
      <c r="Y711" s="193"/>
      <c r="Z711" s="193"/>
      <c r="AA711" s="193"/>
      <c r="AB711" s="193"/>
      <c r="AC711" s="193"/>
      <c r="AD711" s="193"/>
    </row>
    <row r="712" ht="18.75" customHeight="1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3"/>
      <c r="X712" s="193"/>
      <c r="Y712" s="193"/>
      <c r="Z712" s="193"/>
      <c r="AA712" s="193"/>
      <c r="AB712" s="193"/>
      <c r="AC712" s="193"/>
      <c r="AD712" s="193"/>
    </row>
    <row r="713" ht="18.75" customHeight="1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3"/>
      <c r="X713" s="193"/>
      <c r="Y713" s="193"/>
      <c r="Z713" s="193"/>
      <c r="AA713" s="193"/>
      <c r="AB713" s="193"/>
      <c r="AC713" s="193"/>
      <c r="AD713" s="193"/>
    </row>
    <row r="714" ht="18.75" customHeight="1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3"/>
      <c r="X714" s="193"/>
      <c r="Y714" s="193"/>
      <c r="Z714" s="193"/>
      <c r="AA714" s="193"/>
      <c r="AB714" s="193"/>
      <c r="AC714" s="193"/>
      <c r="AD714" s="193"/>
    </row>
    <row r="715" ht="18.75" customHeight="1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3"/>
      <c r="X715" s="193"/>
      <c r="Y715" s="193"/>
      <c r="Z715" s="193"/>
      <c r="AA715" s="193"/>
      <c r="AB715" s="193"/>
      <c r="AC715" s="193"/>
      <c r="AD715" s="193"/>
    </row>
    <row r="716" ht="18.75" customHeight="1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3"/>
      <c r="X716" s="193"/>
      <c r="Y716" s="193"/>
      <c r="Z716" s="193"/>
      <c r="AA716" s="193"/>
      <c r="AB716" s="193"/>
      <c r="AC716" s="193"/>
      <c r="AD716" s="193"/>
    </row>
    <row r="717" ht="18.75" customHeight="1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3"/>
      <c r="X717" s="193"/>
      <c r="Y717" s="193"/>
      <c r="Z717" s="193"/>
      <c r="AA717" s="193"/>
      <c r="AB717" s="193"/>
      <c r="AC717" s="193"/>
      <c r="AD717" s="193"/>
    </row>
    <row r="718" ht="18.75" customHeight="1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3"/>
      <c r="X718" s="193"/>
      <c r="Y718" s="193"/>
      <c r="Z718" s="193"/>
      <c r="AA718" s="193"/>
      <c r="AB718" s="193"/>
      <c r="AC718" s="193"/>
      <c r="AD718" s="193"/>
    </row>
    <row r="719" ht="18.75" customHeight="1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3"/>
      <c r="X719" s="193"/>
      <c r="Y719" s="193"/>
      <c r="Z719" s="193"/>
      <c r="AA719" s="193"/>
      <c r="AB719" s="193"/>
      <c r="AC719" s="193"/>
      <c r="AD719" s="193"/>
    </row>
    <row r="720" ht="18.75" customHeight="1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3"/>
      <c r="X720" s="193"/>
      <c r="Y720" s="193"/>
      <c r="Z720" s="193"/>
      <c r="AA720" s="193"/>
      <c r="AB720" s="193"/>
      <c r="AC720" s="193"/>
      <c r="AD720" s="193"/>
    </row>
    <row r="721" ht="18.75" customHeight="1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3"/>
      <c r="X721" s="193"/>
      <c r="Y721" s="193"/>
      <c r="Z721" s="193"/>
      <c r="AA721" s="193"/>
      <c r="AB721" s="193"/>
      <c r="AC721" s="193"/>
      <c r="AD721" s="193"/>
    </row>
    <row r="722" ht="18.75" customHeight="1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3"/>
      <c r="X722" s="193"/>
      <c r="Y722" s="193"/>
      <c r="Z722" s="193"/>
      <c r="AA722" s="193"/>
      <c r="AB722" s="193"/>
      <c r="AC722" s="193"/>
      <c r="AD722" s="193"/>
    </row>
    <row r="723" ht="18.75" customHeight="1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3"/>
      <c r="X723" s="193"/>
      <c r="Y723" s="193"/>
      <c r="Z723" s="193"/>
      <c r="AA723" s="193"/>
      <c r="AB723" s="193"/>
      <c r="AC723" s="193"/>
      <c r="AD723" s="193"/>
    </row>
    <row r="724" ht="18.75" customHeight="1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3"/>
      <c r="X724" s="193"/>
      <c r="Y724" s="193"/>
      <c r="Z724" s="193"/>
      <c r="AA724" s="193"/>
      <c r="AB724" s="193"/>
      <c r="AC724" s="193"/>
      <c r="AD724" s="193"/>
    </row>
    <row r="725" ht="18.75" customHeight="1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3"/>
      <c r="X725" s="193"/>
      <c r="Y725" s="193"/>
      <c r="Z725" s="193"/>
      <c r="AA725" s="193"/>
      <c r="AB725" s="193"/>
      <c r="AC725" s="193"/>
      <c r="AD725" s="193"/>
    </row>
    <row r="726" ht="18.75" customHeight="1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3"/>
      <c r="X726" s="193"/>
      <c r="Y726" s="193"/>
      <c r="Z726" s="193"/>
      <c r="AA726" s="193"/>
      <c r="AB726" s="193"/>
      <c r="AC726" s="193"/>
      <c r="AD726" s="193"/>
    </row>
    <row r="727" ht="18.75" customHeight="1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3"/>
      <c r="X727" s="193"/>
      <c r="Y727" s="193"/>
      <c r="Z727" s="193"/>
      <c r="AA727" s="193"/>
      <c r="AB727" s="193"/>
      <c r="AC727" s="193"/>
      <c r="AD727" s="193"/>
    </row>
    <row r="728" ht="18.75" customHeight="1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3"/>
      <c r="X728" s="193"/>
      <c r="Y728" s="193"/>
      <c r="Z728" s="193"/>
      <c r="AA728" s="193"/>
      <c r="AB728" s="193"/>
      <c r="AC728" s="193"/>
      <c r="AD728" s="193"/>
    </row>
    <row r="729" ht="18.75" customHeight="1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3"/>
      <c r="X729" s="193"/>
      <c r="Y729" s="193"/>
      <c r="Z729" s="193"/>
      <c r="AA729" s="193"/>
      <c r="AB729" s="193"/>
      <c r="AC729" s="193"/>
      <c r="AD729" s="193"/>
    </row>
    <row r="730" ht="18.75" customHeight="1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3"/>
      <c r="X730" s="193"/>
      <c r="Y730" s="193"/>
      <c r="Z730" s="193"/>
      <c r="AA730" s="193"/>
      <c r="AB730" s="193"/>
      <c r="AC730" s="193"/>
      <c r="AD730" s="193"/>
    </row>
    <row r="731" ht="18.75" customHeight="1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3"/>
      <c r="X731" s="193"/>
      <c r="Y731" s="193"/>
      <c r="Z731" s="193"/>
      <c r="AA731" s="193"/>
      <c r="AB731" s="193"/>
      <c r="AC731" s="193"/>
      <c r="AD731" s="193"/>
    </row>
    <row r="732" ht="18.75" customHeight="1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3"/>
      <c r="X732" s="193"/>
      <c r="Y732" s="193"/>
      <c r="Z732" s="193"/>
      <c r="AA732" s="193"/>
      <c r="AB732" s="193"/>
      <c r="AC732" s="193"/>
      <c r="AD732" s="193"/>
    </row>
    <row r="733" ht="18.75" customHeight="1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3"/>
      <c r="X733" s="193"/>
      <c r="Y733" s="193"/>
      <c r="Z733" s="193"/>
      <c r="AA733" s="193"/>
      <c r="AB733" s="193"/>
      <c r="AC733" s="193"/>
      <c r="AD733" s="193"/>
    </row>
    <row r="734" ht="18.75" customHeight="1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3"/>
      <c r="X734" s="193"/>
      <c r="Y734" s="193"/>
      <c r="Z734" s="193"/>
      <c r="AA734" s="193"/>
      <c r="AB734" s="193"/>
      <c r="AC734" s="193"/>
      <c r="AD734" s="193"/>
    </row>
    <row r="735" ht="18.75" customHeight="1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3"/>
      <c r="X735" s="193"/>
      <c r="Y735" s="193"/>
      <c r="Z735" s="193"/>
      <c r="AA735" s="193"/>
      <c r="AB735" s="193"/>
      <c r="AC735" s="193"/>
      <c r="AD735" s="193"/>
    </row>
    <row r="736" ht="18.75" customHeight="1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3"/>
      <c r="X736" s="193"/>
      <c r="Y736" s="193"/>
      <c r="Z736" s="193"/>
      <c r="AA736" s="193"/>
      <c r="AB736" s="193"/>
      <c r="AC736" s="193"/>
      <c r="AD736" s="193"/>
    </row>
    <row r="737" ht="18.75" customHeight="1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3"/>
      <c r="X737" s="193"/>
      <c r="Y737" s="193"/>
      <c r="Z737" s="193"/>
      <c r="AA737" s="193"/>
      <c r="AB737" s="193"/>
      <c r="AC737" s="193"/>
      <c r="AD737" s="193"/>
    </row>
    <row r="738" ht="18.75" customHeight="1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3"/>
      <c r="X738" s="193"/>
      <c r="Y738" s="193"/>
      <c r="Z738" s="193"/>
      <c r="AA738" s="193"/>
      <c r="AB738" s="193"/>
      <c r="AC738" s="193"/>
      <c r="AD738" s="193"/>
    </row>
    <row r="739" ht="18.75" customHeight="1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3"/>
      <c r="X739" s="193"/>
      <c r="Y739" s="193"/>
      <c r="Z739" s="193"/>
      <c r="AA739" s="193"/>
      <c r="AB739" s="193"/>
      <c r="AC739" s="193"/>
      <c r="AD739" s="193"/>
    </row>
    <row r="740" ht="18.75" customHeight="1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3"/>
      <c r="X740" s="193"/>
      <c r="Y740" s="193"/>
      <c r="Z740" s="193"/>
      <c r="AA740" s="193"/>
      <c r="AB740" s="193"/>
      <c r="AC740" s="193"/>
      <c r="AD740" s="193"/>
    </row>
    <row r="741" ht="18.75" customHeight="1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3"/>
      <c r="X741" s="193"/>
      <c r="Y741" s="193"/>
      <c r="Z741" s="193"/>
      <c r="AA741" s="193"/>
      <c r="AB741" s="193"/>
      <c r="AC741" s="193"/>
      <c r="AD741" s="193"/>
    </row>
    <row r="742" ht="18.75" customHeight="1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3"/>
      <c r="X742" s="193"/>
      <c r="Y742" s="193"/>
      <c r="Z742" s="193"/>
      <c r="AA742" s="193"/>
      <c r="AB742" s="193"/>
      <c r="AC742" s="193"/>
      <c r="AD742" s="193"/>
    </row>
    <row r="743" ht="18.75" customHeight="1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3"/>
      <c r="X743" s="193"/>
      <c r="Y743" s="193"/>
      <c r="Z743" s="193"/>
      <c r="AA743" s="193"/>
      <c r="AB743" s="193"/>
      <c r="AC743" s="193"/>
      <c r="AD743" s="193"/>
    </row>
    <row r="744" ht="18.75" customHeight="1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  <c r="W744" s="193"/>
      <c r="X744" s="193"/>
      <c r="Y744" s="193"/>
      <c r="Z744" s="193"/>
      <c r="AA744" s="193"/>
      <c r="AB744" s="193"/>
      <c r="AC744" s="193"/>
      <c r="AD744" s="193"/>
    </row>
    <row r="745" ht="18.75" customHeight="1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  <c r="W745" s="193"/>
      <c r="X745" s="193"/>
      <c r="Y745" s="193"/>
      <c r="Z745" s="193"/>
      <c r="AA745" s="193"/>
      <c r="AB745" s="193"/>
      <c r="AC745" s="193"/>
      <c r="AD745" s="193"/>
    </row>
    <row r="746" ht="18.75" customHeight="1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  <c r="W746" s="193"/>
      <c r="X746" s="193"/>
      <c r="Y746" s="193"/>
      <c r="Z746" s="193"/>
      <c r="AA746" s="193"/>
      <c r="AB746" s="193"/>
      <c r="AC746" s="193"/>
      <c r="AD746" s="193"/>
    </row>
    <row r="747" ht="18.75" customHeight="1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  <c r="W747" s="193"/>
      <c r="X747" s="193"/>
      <c r="Y747" s="193"/>
      <c r="Z747" s="193"/>
      <c r="AA747" s="193"/>
      <c r="AB747" s="193"/>
      <c r="AC747" s="193"/>
      <c r="AD747" s="193"/>
    </row>
    <row r="748" ht="18.75" customHeight="1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  <c r="W748" s="193"/>
      <c r="X748" s="193"/>
      <c r="Y748" s="193"/>
      <c r="Z748" s="193"/>
      <c r="AA748" s="193"/>
      <c r="AB748" s="193"/>
      <c r="AC748" s="193"/>
      <c r="AD748" s="193"/>
    </row>
    <row r="749" ht="18.75" customHeight="1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  <c r="W749" s="193"/>
      <c r="X749" s="193"/>
      <c r="Y749" s="193"/>
      <c r="Z749" s="193"/>
      <c r="AA749" s="193"/>
      <c r="AB749" s="193"/>
      <c r="AC749" s="193"/>
      <c r="AD749" s="193"/>
    </row>
    <row r="750" ht="18.75" customHeight="1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  <c r="W750" s="193"/>
      <c r="X750" s="193"/>
      <c r="Y750" s="193"/>
      <c r="Z750" s="193"/>
      <c r="AA750" s="193"/>
      <c r="AB750" s="193"/>
      <c r="AC750" s="193"/>
      <c r="AD750" s="193"/>
    </row>
    <row r="751" ht="18.75" customHeight="1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  <c r="W751" s="193"/>
      <c r="X751" s="193"/>
      <c r="Y751" s="193"/>
      <c r="Z751" s="193"/>
      <c r="AA751" s="193"/>
      <c r="AB751" s="193"/>
      <c r="AC751" s="193"/>
      <c r="AD751" s="193"/>
    </row>
    <row r="752" ht="18.75" customHeight="1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  <c r="W752" s="193"/>
      <c r="X752" s="193"/>
      <c r="Y752" s="193"/>
      <c r="Z752" s="193"/>
      <c r="AA752" s="193"/>
      <c r="AB752" s="193"/>
      <c r="AC752" s="193"/>
      <c r="AD752" s="193"/>
    </row>
    <row r="753" ht="18.75" customHeight="1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  <c r="W753" s="193"/>
      <c r="X753" s="193"/>
      <c r="Y753" s="193"/>
      <c r="Z753" s="193"/>
      <c r="AA753" s="193"/>
      <c r="AB753" s="193"/>
      <c r="AC753" s="193"/>
      <c r="AD753" s="193"/>
    </row>
    <row r="754" ht="18.75" customHeight="1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  <c r="W754" s="193"/>
      <c r="X754" s="193"/>
      <c r="Y754" s="193"/>
      <c r="Z754" s="193"/>
      <c r="AA754" s="193"/>
      <c r="AB754" s="193"/>
      <c r="AC754" s="193"/>
      <c r="AD754" s="193"/>
    </row>
    <row r="755" ht="18.75" customHeight="1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  <c r="W755" s="193"/>
      <c r="X755" s="193"/>
      <c r="Y755" s="193"/>
      <c r="Z755" s="193"/>
      <c r="AA755" s="193"/>
      <c r="AB755" s="193"/>
      <c r="AC755" s="193"/>
      <c r="AD755" s="193"/>
    </row>
    <row r="756" ht="18.75" customHeight="1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  <c r="W756" s="193"/>
      <c r="X756" s="193"/>
      <c r="Y756" s="193"/>
      <c r="Z756" s="193"/>
      <c r="AA756" s="193"/>
      <c r="AB756" s="193"/>
      <c r="AC756" s="193"/>
      <c r="AD756" s="193"/>
    </row>
    <row r="757" ht="18.75" customHeight="1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  <c r="W757" s="193"/>
      <c r="X757" s="193"/>
      <c r="Y757" s="193"/>
      <c r="Z757" s="193"/>
      <c r="AA757" s="193"/>
      <c r="AB757" s="193"/>
      <c r="AC757" s="193"/>
      <c r="AD757" s="193"/>
    </row>
    <row r="758" ht="18.75" customHeight="1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  <c r="W758" s="193"/>
      <c r="X758" s="193"/>
      <c r="Y758" s="193"/>
      <c r="Z758" s="193"/>
      <c r="AA758" s="193"/>
      <c r="AB758" s="193"/>
      <c r="AC758" s="193"/>
      <c r="AD758" s="193"/>
    </row>
    <row r="759" ht="18.75" customHeight="1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  <c r="W759" s="193"/>
      <c r="X759" s="193"/>
      <c r="Y759" s="193"/>
      <c r="Z759" s="193"/>
      <c r="AA759" s="193"/>
      <c r="AB759" s="193"/>
      <c r="AC759" s="193"/>
      <c r="AD759" s="193"/>
    </row>
    <row r="760" ht="18.75" customHeight="1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  <c r="W760" s="193"/>
      <c r="X760" s="193"/>
      <c r="Y760" s="193"/>
      <c r="Z760" s="193"/>
      <c r="AA760" s="193"/>
      <c r="AB760" s="193"/>
      <c r="AC760" s="193"/>
      <c r="AD760" s="193"/>
    </row>
    <row r="761" ht="18.75" customHeight="1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  <c r="W761" s="193"/>
      <c r="X761" s="193"/>
      <c r="Y761" s="193"/>
      <c r="Z761" s="193"/>
      <c r="AA761" s="193"/>
      <c r="AB761" s="193"/>
      <c r="AC761" s="193"/>
      <c r="AD761" s="193"/>
    </row>
    <row r="762" ht="18.75" customHeight="1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  <c r="W762" s="193"/>
      <c r="X762" s="193"/>
      <c r="Y762" s="193"/>
      <c r="Z762" s="193"/>
      <c r="AA762" s="193"/>
      <c r="AB762" s="193"/>
      <c r="AC762" s="193"/>
      <c r="AD762" s="193"/>
    </row>
    <row r="763" ht="18.75" customHeight="1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  <c r="W763" s="193"/>
      <c r="X763" s="193"/>
      <c r="Y763" s="193"/>
      <c r="Z763" s="193"/>
      <c r="AA763" s="193"/>
      <c r="AB763" s="193"/>
      <c r="AC763" s="193"/>
      <c r="AD763" s="193"/>
    </row>
    <row r="764" ht="18.75" customHeight="1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  <c r="W764" s="193"/>
      <c r="X764" s="193"/>
      <c r="Y764" s="193"/>
      <c r="Z764" s="193"/>
      <c r="AA764" s="193"/>
      <c r="AB764" s="193"/>
      <c r="AC764" s="193"/>
      <c r="AD764" s="193"/>
    </row>
    <row r="765" ht="18.75" customHeight="1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  <c r="W765" s="193"/>
      <c r="X765" s="193"/>
      <c r="Y765" s="193"/>
      <c r="Z765" s="193"/>
      <c r="AA765" s="193"/>
      <c r="AB765" s="193"/>
      <c r="AC765" s="193"/>
      <c r="AD765" s="193"/>
    </row>
    <row r="766" ht="18.75" customHeight="1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  <c r="W766" s="193"/>
      <c r="X766" s="193"/>
      <c r="Y766" s="193"/>
      <c r="Z766" s="193"/>
      <c r="AA766" s="193"/>
      <c r="AB766" s="193"/>
      <c r="AC766" s="193"/>
      <c r="AD766" s="193"/>
    </row>
    <row r="767" ht="18.75" customHeight="1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  <c r="W767" s="193"/>
      <c r="X767" s="193"/>
      <c r="Y767" s="193"/>
      <c r="Z767" s="193"/>
      <c r="AA767" s="193"/>
      <c r="AB767" s="193"/>
      <c r="AC767" s="193"/>
      <c r="AD767" s="193"/>
    </row>
    <row r="768" ht="18.75" customHeight="1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  <c r="W768" s="193"/>
      <c r="X768" s="193"/>
      <c r="Y768" s="193"/>
      <c r="Z768" s="193"/>
      <c r="AA768" s="193"/>
      <c r="AB768" s="193"/>
      <c r="AC768" s="193"/>
      <c r="AD768" s="193"/>
    </row>
    <row r="769" ht="18.75" customHeight="1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3"/>
      <c r="X769" s="193"/>
      <c r="Y769" s="193"/>
      <c r="Z769" s="193"/>
      <c r="AA769" s="193"/>
      <c r="AB769" s="193"/>
      <c r="AC769" s="193"/>
      <c r="AD769" s="193"/>
    </row>
    <row r="770" ht="18.75" customHeight="1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  <c r="W770" s="193"/>
      <c r="X770" s="193"/>
      <c r="Y770" s="193"/>
      <c r="Z770" s="193"/>
      <c r="AA770" s="193"/>
      <c r="AB770" s="193"/>
      <c r="AC770" s="193"/>
      <c r="AD770" s="193"/>
    </row>
    <row r="771" ht="18.75" customHeight="1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  <c r="W771" s="193"/>
      <c r="X771" s="193"/>
      <c r="Y771" s="193"/>
      <c r="Z771" s="193"/>
      <c r="AA771" s="193"/>
      <c r="AB771" s="193"/>
      <c r="AC771" s="193"/>
      <c r="AD771" s="193"/>
    </row>
    <row r="772" ht="18.75" customHeight="1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  <c r="W772" s="193"/>
      <c r="X772" s="193"/>
      <c r="Y772" s="193"/>
      <c r="Z772" s="193"/>
      <c r="AA772" s="193"/>
      <c r="AB772" s="193"/>
      <c r="AC772" s="193"/>
      <c r="AD772" s="193"/>
    </row>
    <row r="773" ht="18.75" customHeight="1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  <c r="W773" s="193"/>
      <c r="X773" s="193"/>
      <c r="Y773" s="193"/>
      <c r="Z773" s="193"/>
      <c r="AA773" s="193"/>
      <c r="AB773" s="193"/>
      <c r="AC773" s="193"/>
      <c r="AD773" s="193"/>
    </row>
    <row r="774" ht="18.75" customHeight="1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  <c r="W774" s="193"/>
      <c r="X774" s="193"/>
      <c r="Y774" s="193"/>
      <c r="Z774" s="193"/>
      <c r="AA774" s="193"/>
      <c r="AB774" s="193"/>
      <c r="AC774" s="193"/>
      <c r="AD774" s="193"/>
    </row>
    <row r="775" ht="18.75" customHeight="1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  <c r="W775" s="193"/>
      <c r="X775" s="193"/>
      <c r="Y775" s="193"/>
      <c r="Z775" s="193"/>
      <c r="AA775" s="193"/>
      <c r="AB775" s="193"/>
      <c r="AC775" s="193"/>
      <c r="AD775" s="193"/>
    </row>
    <row r="776" ht="18.75" customHeight="1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  <c r="W776" s="193"/>
      <c r="X776" s="193"/>
      <c r="Y776" s="193"/>
      <c r="Z776" s="193"/>
      <c r="AA776" s="193"/>
      <c r="AB776" s="193"/>
      <c r="AC776" s="193"/>
      <c r="AD776" s="193"/>
    </row>
    <row r="777" ht="18.75" customHeight="1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  <c r="W777" s="193"/>
      <c r="X777" s="193"/>
      <c r="Y777" s="193"/>
      <c r="Z777" s="193"/>
      <c r="AA777" s="193"/>
      <c r="AB777" s="193"/>
      <c r="AC777" s="193"/>
      <c r="AD777" s="193"/>
    </row>
    <row r="778" ht="18.75" customHeight="1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  <c r="W778" s="193"/>
      <c r="X778" s="193"/>
      <c r="Y778" s="193"/>
      <c r="Z778" s="193"/>
      <c r="AA778" s="193"/>
      <c r="AB778" s="193"/>
      <c r="AC778" s="193"/>
      <c r="AD778" s="193"/>
    </row>
    <row r="779" ht="18.75" customHeight="1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  <c r="W779" s="193"/>
      <c r="X779" s="193"/>
      <c r="Y779" s="193"/>
      <c r="Z779" s="193"/>
      <c r="AA779" s="193"/>
      <c r="AB779" s="193"/>
      <c r="AC779" s="193"/>
      <c r="AD779" s="193"/>
    </row>
    <row r="780" ht="18.75" customHeight="1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  <c r="W780" s="193"/>
      <c r="X780" s="193"/>
      <c r="Y780" s="193"/>
      <c r="Z780" s="193"/>
      <c r="AA780" s="193"/>
      <c r="AB780" s="193"/>
      <c r="AC780" s="193"/>
      <c r="AD780" s="193"/>
    </row>
    <row r="781" ht="18.75" customHeight="1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  <c r="W781" s="193"/>
      <c r="X781" s="193"/>
      <c r="Y781" s="193"/>
      <c r="Z781" s="193"/>
      <c r="AA781" s="193"/>
      <c r="AB781" s="193"/>
      <c r="AC781" s="193"/>
      <c r="AD781" s="193"/>
    </row>
    <row r="782" ht="18.75" customHeight="1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  <c r="W782" s="193"/>
      <c r="X782" s="193"/>
      <c r="Y782" s="193"/>
      <c r="Z782" s="193"/>
      <c r="AA782" s="193"/>
      <c r="AB782" s="193"/>
      <c r="AC782" s="193"/>
      <c r="AD782" s="193"/>
    </row>
    <row r="783" ht="18.75" customHeight="1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  <c r="W783" s="193"/>
      <c r="X783" s="193"/>
      <c r="Y783" s="193"/>
      <c r="Z783" s="193"/>
      <c r="AA783" s="193"/>
      <c r="AB783" s="193"/>
      <c r="AC783" s="193"/>
      <c r="AD783" s="193"/>
    </row>
    <row r="784" ht="18.75" customHeight="1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  <c r="W784" s="193"/>
      <c r="X784" s="193"/>
      <c r="Y784" s="193"/>
      <c r="Z784" s="193"/>
      <c r="AA784" s="193"/>
      <c r="AB784" s="193"/>
      <c r="AC784" s="193"/>
      <c r="AD784" s="193"/>
    </row>
    <row r="785" ht="18.75" customHeight="1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  <c r="W785" s="193"/>
      <c r="X785" s="193"/>
      <c r="Y785" s="193"/>
      <c r="Z785" s="193"/>
      <c r="AA785" s="193"/>
      <c r="AB785" s="193"/>
      <c r="AC785" s="193"/>
      <c r="AD785" s="193"/>
    </row>
    <row r="786" ht="18.75" customHeight="1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  <c r="W786" s="193"/>
      <c r="X786" s="193"/>
      <c r="Y786" s="193"/>
      <c r="Z786" s="193"/>
      <c r="AA786" s="193"/>
      <c r="AB786" s="193"/>
      <c r="AC786" s="193"/>
      <c r="AD786" s="193"/>
    </row>
    <row r="787" ht="18.75" customHeight="1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  <c r="W787" s="193"/>
      <c r="X787" s="193"/>
      <c r="Y787" s="193"/>
      <c r="Z787" s="193"/>
      <c r="AA787" s="193"/>
      <c r="AB787" s="193"/>
      <c r="AC787" s="193"/>
      <c r="AD787" s="193"/>
    </row>
    <row r="788" ht="18.75" customHeight="1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  <c r="W788" s="193"/>
      <c r="X788" s="193"/>
      <c r="Y788" s="193"/>
      <c r="Z788" s="193"/>
      <c r="AA788" s="193"/>
      <c r="AB788" s="193"/>
      <c r="AC788" s="193"/>
      <c r="AD788" s="193"/>
    </row>
    <row r="789" ht="18.75" customHeight="1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  <c r="W789" s="193"/>
      <c r="X789" s="193"/>
      <c r="Y789" s="193"/>
      <c r="Z789" s="193"/>
      <c r="AA789" s="193"/>
      <c r="AB789" s="193"/>
      <c r="AC789" s="193"/>
      <c r="AD789" s="193"/>
    </row>
    <row r="790" ht="18.75" customHeight="1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  <c r="W790" s="193"/>
      <c r="X790" s="193"/>
      <c r="Y790" s="193"/>
      <c r="Z790" s="193"/>
      <c r="AA790" s="193"/>
      <c r="AB790" s="193"/>
      <c r="AC790" s="193"/>
      <c r="AD790" s="193"/>
    </row>
    <row r="791" ht="18.75" customHeight="1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  <c r="W791" s="193"/>
      <c r="X791" s="193"/>
      <c r="Y791" s="193"/>
      <c r="Z791" s="193"/>
      <c r="AA791" s="193"/>
      <c r="AB791" s="193"/>
      <c r="AC791" s="193"/>
      <c r="AD791" s="193"/>
    </row>
    <row r="792" ht="18.75" customHeight="1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  <c r="W792" s="193"/>
      <c r="X792" s="193"/>
      <c r="Y792" s="193"/>
      <c r="Z792" s="193"/>
      <c r="AA792" s="193"/>
      <c r="AB792" s="193"/>
      <c r="AC792" s="193"/>
      <c r="AD792" s="193"/>
    </row>
    <row r="793" ht="18.75" customHeight="1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  <c r="W793" s="193"/>
      <c r="X793" s="193"/>
      <c r="Y793" s="193"/>
      <c r="Z793" s="193"/>
      <c r="AA793" s="193"/>
      <c r="AB793" s="193"/>
      <c r="AC793" s="193"/>
      <c r="AD793" s="193"/>
    </row>
    <row r="794" ht="18.75" customHeight="1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  <c r="W794" s="193"/>
      <c r="X794" s="193"/>
      <c r="Y794" s="193"/>
      <c r="Z794" s="193"/>
      <c r="AA794" s="193"/>
      <c r="AB794" s="193"/>
      <c r="AC794" s="193"/>
      <c r="AD794" s="193"/>
    </row>
    <row r="795" ht="18.75" customHeight="1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  <c r="W795" s="193"/>
      <c r="X795" s="193"/>
      <c r="Y795" s="193"/>
      <c r="Z795" s="193"/>
      <c r="AA795" s="193"/>
      <c r="AB795" s="193"/>
      <c r="AC795" s="193"/>
      <c r="AD795" s="193"/>
    </row>
    <row r="796" ht="18.75" customHeight="1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  <c r="W796" s="193"/>
      <c r="X796" s="193"/>
      <c r="Y796" s="193"/>
      <c r="Z796" s="193"/>
      <c r="AA796" s="193"/>
      <c r="AB796" s="193"/>
      <c r="AC796" s="193"/>
      <c r="AD796" s="193"/>
    </row>
    <row r="797" ht="18.75" customHeight="1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  <c r="W797" s="193"/>
      <c r="X797" s="193"/>
      <c r="Y797" s="193"/>
      <c r="Z797" s="193"/>
      <c r="AA797" s="193"/>
      <c r="AB797" s="193"/>
      <c r="AC797" s="193"/>
      <c r="AD797" s="193"/>
    </row>
    <row r="798" ht="18.75" customHeight="1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  <c r="W798" s="193"/>
      <c r="X798" s="193"/>
      <c r="Y798" s="193"/>
      <c r="Z798" s="193"/>
      <c r="AA798" s="193"/>
      <c r="AB798" s="193"/>
      <c r="AC798" s="193"/>
      <c r="AD798" s="193"/>
    </row>
    <row r="799" ht="18.75" customHeight="1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  <c r="W799" s="193"/>
      <c r="X799" s="193"/>
      <c r="Y799" s="193"/>
      <c r="Z799" s="193"/>
      <c r="AA799" s="193"/>
      <c r="AB799" s="193"/>
      <c r="AC799" s="193"/>
      <c r="AD799" s="193"/>
    </row>
    <row r="800" ht="18.75" customHeight="1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  <c r="W800" s="193"/>
      <c r="X800" s="193"/>
      <c r="Y800" s="193"/>
      <c r="Z800" s="193"/>
      <c r="AA800" s="193"/>
      <c r="AB800" s="193"/>
      <c r="AC800" s="193"/>
      <c r="AD800" s="193"/>
    </row>
    <row r="801" ht="18.75" customHeight="1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  <c r="W801" s="193"/>
      <c r="X801" s="193"/>
      <c r="Y801" s="193"/>
      <c r="Z801" s="193"/>
      <c r="AA801" s="193"/>
      <c r="AB801" s="193"/>
      <c r="AC801" s="193"/>
      <c r="AD801" s="193"/>
    </row>
    <row r="802" ht="18.75" customHeight="1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  <c r="W802" s="193"/>
      <c r="X802" s="193"/>
      <c r="Y802" s="193"/>
      <c r="Z802" s="193"/>
      <c r="AA802" s="193"/>
      <c r="AB802" s="193"/>
      <c r="AC802" s="193"/>
      <c r="AD802" s="193"/>
    </row>
    <row r="803" ht="18.75" customHeight="1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  <c r="W803" s="193"/>
      <c r="X803" s="193"/>
      <c r="Y803" s="193"/>
      <c r="Z803" s="193"/>
      <c r="AA803" s="193"/>
      <c r="AB803" s="193"/>
      <c r="AC803" s="193"/>
      <c r="AD803" s="193"/>
    </row>
    <row r="804" ht="18.75" customHeight="1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  <c r="W804" s="193"/>
      <c r="X804" s="193"/>
      <c r="Y804" s="193"/>
      <c r="Z804" s="193"/>
      <c r="AA804" s="193"/>
      <c r="AB804" s="193"/>
      <c r="AC804" s="193"/>
      <c r="AD804" s="193"/>
    </row>
    <row r="805" ht="18.75" customHeight="1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3"/>
      <c r="X805" s="193"/>
      <c r="Y805" s="193"/>
      <c r="Z805" s="193"/>
      <c r="AA805" s="193"/>
      <c r="AB805" s="193"/>
      <c r="AC805" s="193"/>
      <c r="AD805" s="193"/>
    </row>
    <row r="806" ht="18.75" customHeight="1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  <c r="W806" s="193"/>
      <c r="X806" s="193"/>
      <c r="Y806" s="193"/>
      <c r="Z806" s="193"/>
      <c r="AA806" s="193"/>
      <c r="AB806" s="193"/>
      <c r="AC806" s="193"/>
      <c r="AD806" s="193"/>
    </row>
    <row r="807" ht="18.75" customHeight="1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  <c r="W807" s="193"/>
      <c r="X807" s="193"/>
      <c r="Y807" s="193"/>
      <c r="Z807" s="193"/>
      <c r="AA807" s="193"/>
      <c r="AB807" s="193"/>
      <c r="AC807" s="193"/>
      <c r="AD807" s="193"/>
    </row>
    <row r="808" ht="18.75" customHeight="1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  <c r="W808" s="193"/>
      <c r="X808" s="193"/>
      <c r="Y808" s="193"/>
      <c r="Z808" s="193"/>
      <c r="AA808" s="193"/>
      <c r="AB808" s="193"/>
      <c r="AC808" s="193"/>
      <c r="AD808" s="193"/>
    </row>
    <row r="809" ht="18.75" customHeight="1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  <c r="W809" s="193"/>
      <c r="X809" s="193"/>
      <c r="Y809" s="193"/>
      <c r="Z809" s="193"/>
      <c r="AA809" s="193"/>
      <c r="AB809" s="193"/>
      <c r="AC809" s="193"/>
      <c r="AD809" s="193"/>
    </row>
    <row r="810" ht="18.75" customHeight="1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  <c r="W810" s="193"/>
      <c r="X810" s="193"/>
      <c r="Y810" s="193"/>
      <c r="Z810" s="193"/>
      <c r="AA810" s="193"/>
      <c r="AB810" s="193"/>
      <c r="AC810" s="193"/>
      <c r="AD810" s="193"/>
    </row>
    <row r="811" ht="18.75" customHeight="1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  <c r="W811" s="193"/>
      <c r="X811" s="193"/>
      <c r="Y811" s="193"/>
      <c r="Z811" s="193"/>
      <c r="AA811" s="193"/>
      <c r="AB811" s="193"/>
      <c r="AC811" s="193"/>
      <c r="AD811" s="193"/>
    </row>
    <row r="812" ht="18.75" customHeight="1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  <c r="W812" s="193"/>
      <c r="X812" s="193"/>
      <c r="Y812" s="193"/>
      <c r="Z812" s="193"/>
      <c r="AA812" s="193"/>
      <c r="AB812" s="193"/>
      <c r="AC812" s="193"/>
      <c r="AD812" s="193"/>
    </row>
    <row r="813" ht="18.75" customHeight="1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  <c r="W813" s="193"/>
      <c r="X813" s="193"/>
      <c r="Y813" s="193"/>
      <c r="Z813" s="193"/>
      <c r="AA813" s="193"/>
      <c r="AB813" s="193"/>
      <c r="AC813" s="193"/>
      <c r="AD813" s="193"/>
    </row>
    <row r="814" ht="18.75" customHeight="1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  <c r="W814" s="193"/>
      <c r="X814" s="193"/>
      <c r="Y814" s="193"/>
      <c r="Z814" s="193"/>
      <c r="AA814" s="193"/>
      <c r="AB814" s="193"/>
      <c r="AC814" s="193"/>
      <c r="AD814" s="193"/>
    </row>
    <row r="815" ht="18.75" customHeight="1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  <c r="W815" s="193"/>
      <c r="X815" s="193"/>
      <c r="Y815" s="193"/>
      <c r="Z815" s="193"/>
      <c r="AA815" s="193"/>
      <c r="AB815" s="193"/>
      <c r="AC815" s="193"/>
      <c r="AD815" s="193"/>
    </row>
    <row r="816" ht="18.75" customHeight="1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  <c r="W816" s="193"/>
      <c r="X816" s="193"/>
      <c r="Y816" s="193"/>
      <c r="Z816" s="193"/>
      <c r="AA816" s="193"/>
      <c r="AB816" s="193"/>
      <c r="AC816" s="193"/>
      <c r="AD816" s="193"/>
    </row>
    <row r="817" ht="18.75" customHeight="1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  <c r="W817" s="193"/>
      <c r="X817" s="193"/>
      <c r="Y817" s="193"/>
      <c r="Z817" s="193"/>
      <c r="AA817" s="193"/>
      <c r="AB817" s="193"/>
      <c r="AC817" s="193"/>
      <c r="AD817" s="193"/>
    </row>
    <row r="818" ht="18.75" customHeight="1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  <c r="W818" s="193"/>
      <c r="X818" s="193"/>
      <c r="Y818" s="193"/>
      <c r="Z818" s="193"/>
      <c r="AA818" s="193"/>
      <c r="AB818" s="193"/>
      <c r="AC818" s="193"/>
      <c r="AD818" s="193"/>
    </row>
    <row r="819" ht="18.75" customHeight="1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  <c r="W819" s="193"/>
      <c r="X819" s="193"/>
      <c r="Y819" s="193"/>
      <c r="Z819" s="193"/>
      <c r="AA819" s="193"/>
      <c r="AB819" s="193"/>
      <c r="AC819" s="193"/>
      <c r="AD819" s="193"/>
    </row>
    <row r="820" ht="18.75" customHeight="1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  <c r="W820" s="193"/>
      <c r="X820" s="193"/>
      <c r="Y820" s="193"/>
      <c r="Z820" s="193"/>
      <c r="AA820" s="193"/>
      <c r="AB820" s="193"/>
      <c r="AC820" s="193"/>
      <c r="AD820" s="193"/>
    </row>
    <row r="821" ht="18.75" customHeight="1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  <c r="W821" s="193"/>
      <c r="X821" s="193"/>
      <c r="Y821" s="193"/>
      <c r="Z821" s="193"/>
      <c r="AA821" s="193"/>
      <c r="AB821" s="193"/>
      <c r="AC821" s="193"/>
      <c r="AD821" s="193"/>
    </row>
    <row r="822" ht="18.75" customHeight="1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  <c r="W822" s="193"/>
      <c r="X822" s="193"/>
      <c r="Y822" s="193"/>
      <c r="Z822" s="193"/>
      <c r="AA822" s="193"/>
      <c r="AB822" s="193"/>
      <c r="AC822" s="193"/>
      <c r="AD822" s="193"/>
    </row>
    <row r="823" ht="18.75" customHeight="1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  <c r="W823" s="193"/>
      <c r="X823" s="193"/>
      <c r="Y823" s="193"/>
      <c r="Z823" s="193"/>
      <c r="AA823" s="193"/>
      <c r="AB823" s="193"/>
      <c r="AC823" s="193"/>
      <c r="AD823" s="193"/>
    </row>
    <row r="824" ht="18.75" customHeight="1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  <c r="W824" s="193"/>
      <c r="X824" s="193"/>
      <c r="Y824" s="193"/>
      <c r="Z824" s="193"/>
      <c r="AA824" s="193"/>
      <c r="AB824" s="193"/>
      <c r="AC824" s="193"/>
      <c r="AD824" s="193"/>
    </row>
    <row r="825" ht="18.75" customHeight="1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  <c r="W825" s="193"/>
      <c r="X825" s="193"/>
      <c r="Y825" s="193"/>
      <c r="Z825" s="193"/>
      <c r="AA825" s="193"/>
      <c r="AB825" s="193"/>
      <c r="AC825" s="193"/>
      <c r="AD825" s="193"/>
    </row>
    <row r="826" ht="18.75" customHeight="1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  <c r="W826" s="193"/>
      <c r="X826" s="193"/>
      <c r="Y826" s="193"/>
      <c r="Z826" s="193"/>
      <c r="AA826" s="193"/>
      <c r="AB826" s="193"/>
      <c r="AC826" s="193"/>
      <c r="AD826" s="193"/>
    </row>
    <row r="827" ht="18.75" customHeight="1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  <c r="W827" s="193"/>
      <c r="X827" s="193"/>
      <c r="Y827" s="193"/>
      <c r="Z827" s="193"/>
      <c r="AA827" s="193"/>
      <c r="AB827" s="193"/>
      <c r="AC827" s="193"/>
      <c r="AD827" s="193"/>
    </row>
    <row r="828" ht="18.75" customHeight="1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  <c r="W828" s="193"/>
      <c r="X828" s="193"/>
      <c r="Y828" s="193"/>
      <c r="Z828" s="193"/>
      <c r="AA828" s="193"/>
      <c r="AB828" s="193"/>
      <c r="AC828" s="193"/>
      <c r="AD828" s="193"/>
    </row>
    <row r="829" ht="18.75" customHeight="1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  <c r="W829" s="193"/>
      <c r="X829" s="193"/>
      <c r="Y829" s="193"/>
      <c r="Z829" s="193"/>
      <c r="AA829" s="193"/>
      <c r="AB829" s="193"/>
      <c r="AC829" s="193"/>
      <c r="AD829" s="193"/>
    </row>
    <row r="830" ht="18.75" customHeight="1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  <c r="W830" s="193"/>
      <c r="X830" s="193"/>
      <c r="Y830" s="193"/>
      <c r="Z830" s="193"/>
      <c r="AA830" s="193"/>
      <c r="AB830" s="193"/>
      <c r="AC830" s="193"/>
      <c r="AD830" s="193"/>
    </row>
    <row r="831" ht="18.75" customHeight="1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  <c r="W831" s="193"/>
      <c r="X831" s="193"/>
      <c r="Y831" s="193"/>
      <c r="Z831" s="193"/>
      <c r="AA831" s="193"/>
      <c r="AB831" s="193"/>
      <c r="AC831" s="193"/>
      <c r="AD831" s="193"/>
    </row>
    <row r="832" ht="18.75" customHeight="1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  <c r="W832" s="193"/>
      <c r="X832" s="193"/>
      <c r="Y832" s="193"/>
      <c r="Z832" s="193"/>
      <c r="AA832" s="193"/>
      <c r="AB832" s="193"/>
      <c r="AC832" s="193"/>
      <c r="AD832" s="193"/>
    </row>
    <row r="833" ht="18.75" customHeight="1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  <c r="W833" s="193"/>
      <c r="X833" s="193"/>
      <c r="Y833" s="193"/>
      <c r="Z833" s="193"/>
      <c r="AA833" s="193"/>
      <c r="AB833" s="193"/>
      <c r="AC833" s="193"/>
      <c r="AD833" s="193"/>
    </row>
    <row r="834" ht="18.75" customHeight="1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  <c r="W834" s="193"/>
      <c r="X834" s="193"/>
      <c r="Y834" s="193"/>
      <c r="Z834" s="193"/>
      <c r="AA834" s="193"/>
      <c r="AB834" s="193"/>
      <c r="AC834" s="193"/>
      <c r="AD834" s="193"/>
    </row>
    <row r="835" ht="18.75" customHeight="1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  <c r="W835" s="193"/>
      <c r="X835" s="193"/>
      <c r="Y835" s="193"/>
      <c r="Z835" s="193"/>
      <c r="AA835" s="193"/>
      <c r="AB835" s="193"/>
      <c r="AC835" s="193"/>
      <c r="AD835" s="193"/>
    </row>
    <row r="836" ht="18.75" customHeight="1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  <c r="W836" s="193"/>
      <c r="X836" s="193"/>
      <c r="Y836" s="193"/>
      <c r="Z836" s="193"/>
      <c r="AA836" s="193"/>
      <c r="AB836" s="193"/>
      <c r="AC836" s="193"/>
      <c r="AD836" s="193"/>
    </row>
    <row r="837" ht="18.75" customHeight="1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  <c r="W837" s="193"/>
      <c r="X837" s="193"/>
      <c r="Y837" s="193"/>
      <c r="Z837" s="193"/>
      <c r="AA837" s="193"/>
      <c r="AB837" s="193"/>
      <c r="AC837" s="193"/>
      <c r="AD837" s="193"/>
    </row>
    <row r="838" ht="18.75" customHeight="1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  <c r="W838" s="193"/>
      <c r="X838" s="193"/>
      <c r="Y838" s="193"/>
      <c r="Z838" s="193"/>
      <c r="AA838" s="193"/>
      <c r="AB838" s="193"/>
      <c r="AC838" s="193"/>
      <c r="AD838" s="193"/>
    </row>
    <row r="839" ht="18.75" customHeight="1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  <c r="W839" s="193"/>
      <c r="X839" s="193"/>
      <c r="Y839" s="193"/>
      <c r="Z839" s="193"/>
      <c r="AA839" s="193"/>
      <c r="AB839" s="193"/>
      <c r="AC839" s="193"/>
      <c r="AD839" s="193"/>
    </row>
    <row r="840" ht="18.75" customHeight="1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  <c r="W840" s="193"/>
      <c r="X840" s="193"/>
      <c r="Y840" s="193"/>
      <c r="Z840" s="193"/>
      <c r="AA840" s="193"/>
      <c r="AB840" s="193"/>
      <c r="AC840" s="193"/>
      <c r="AD840" s="193"/>
    </row>
    <row r="841" ht="18.75" customHeight="1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  <c r="W841" s="193"/>
      <c r="X841" s="193"/>
      <c r="Y841" s="193"/>
      <c r="Z841" s="193"/>
      <c r="AA841" s="193"/>
      <c r="AB841" s="193"/>
      <c r="AC841" s="193"/>
      <c r="AD841" s="193"/>
    </row>
    <row r="842" ht="18.75" customHeight="1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  <c r="W842" s="193"/>
      <c r="X842" s="193"/>
      <c r="Y842" s="193"/>
      <c r="Z842" s="193"/>
      <c r="AA842" s="193"/>
      <c r="AB842" s="193"/>
      <c r="AC842" s="193"/>
      <c r="AD842" s="193"/>
    </row>
    <row r="843" ht="18.75" customHeight="1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3"/>
      <c r="W843" s="193"/>
      <c r="X843" s="193"/>
      <c r="Y843" s="193"/>
      <c r="Z843" s="193"/>
      <c r="AA843" s="193"/>
      <c r="AB843" s="193"/>
      <c r="AC843" s="193"/>
      <c r="AD843" s="193"/>
    </row>
    <row r="844" ht="18.75" customHeight="1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3"/>
      <c r="W844" s="193"/>
      <c r="X844" s="193"/>
      <c r="Y844" s="193"/>
      <c r="Z844" s="193"/>
      <c r="AA844" s="193"/>
      <c r="AB844" s="193"/>
      <c r="AC844" s="193"/>
      <c r="AD844" s="193"/>
    </row>
    <row r="845" ht="18.75" customHeight="1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3"/>
      <c r="W845" s="193"/>
      <c r="X845" s="193"/>
      <c r="Y845" s="193"/>
      <c r="Z845" s="193"/>
      <c r="AA845" s="193"/>
      <c r="AB845" s="193"/>
      <c r="AC845" s="193"/>
      <c r="AD845" s="193"/>
    </row>
    <row r="846" ht="18.75" customHeight="1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3"/>
      <c r="W846" s="193"/>
      <c r="X846" s="193"/>
      <c r="Y846" s="193"/>
      <c r="Z846" s="193"/>
      <c r="AA846" s="193"/>
      <c r="AB846" s="193"/>
      <c r="AC846" s="193"/>
      <c r="AD846" s="193"/>
    </row>
    <row r="847" ht="18.75" customHeight="1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3"/>
      <c r="W847" s="193"/>
      <c r="X847" s="193"/>
      <c r="Y847" s="193"/>
      <c r="Z847" s="193"/>
      <c r="AA847" s="193"/>
      <c r="AB847" s="193"/>
      <c r="AC847" s="193"/>
      <c r="AD847" s="193"/>
    </row>
    <row r="848" ht="18.75" customHeight="1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3"/>
      <c r="W848" s="193"/>
      <c r="X848" s="193"/>
      <c r="Y848" s="193"/>
      <c r="Z848" s="193"/>
      <c r="AA848" s="193"/>
      <c r="AB848" s="193"/>
      <c r="AC848" s="193"/>
      <c r="AD848" s="193"/>
    </row>
    <row r="849" ht="18.75" customHeight="1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3"/>
      <c r="W849" s="193"/>
      <c r="X849" s="193"/>
      <c r="Y849" s="193"/>
      <c r="Z849" s="193"/>
      <c r="AA849" s="193"/>
      <c r="AB849" s="193"/>
      <c r="AC849" s="193"/>
      <c r="AD849" s="193"/>
    </row>
    <row r="850" ht="18.75" customHeight="1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3"/>
      <c r="W850" s="193"/>
      <c r="X850" s="193"/>
      <c r="Y850" s="193"/>
      <c r="Z850" s="193"/>
      <c r="AA850" s="193"/>
      <c r="AB850" s="193"/>
      <c r="AC850" s="193"/>
      <c r="AD850" s="193"/>
    </row>
    <row r="851" ht="18.75" customHeight="1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3"/>
      <c r="W851" s="193"/>
      <c r="X851" s="193"/>
      <c r="Y851" s="193"/>
      <c r="Z851" s="193"/>
      <c r="AA851" s="193"/>
      <c r="AB851" s="193"/>
      <c r="AC851" s="193"/>
      <c r="AD851" s="193"/>
    </row>
    <row r="852" ht="18.75" customHeight="1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3"/>
      <c r="W852" s="193"/>
      <c r="X852" s="193"/>
      <c r="Y852" s="193"/>
      <c r="Z852" s="193"/>
      <c r="AA852" s="193"/>
      <c r="AB852" s="193"/>
      <c r="AC852" s="193"/>
      <c r="AD852" s="193"/>
    </row>
    <row r="853" ht="18.75" customHeight="1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3"/>
      <c r="W853" s="193"/>
      <c r="X853" s="193"/>
      <c r="Y853" s="193"/>
      <c r="Z853" s="193"/>
      <c r="AA853" s="193"/>
      <c r="AB853" s="193"/>
      <c r="AC853" s="193"/>
      <c r="AD853" s="193"/>
    </row>
    <row r="854" ht="18.75" customHeight="1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3"/>
      <c r="W854" s="193"/>
      <c r="X854" s="193"/>
      <c r="Y854" s="193"/>
      <c r="Z854" s="193"/>
      <c r="AA854" s="193"/>
      <c r="AB854" s="193"/>
      <c r="AC854" s="193"/>
      <c r="AD854" s="193"/>
    </row>
    <row r="855" ht="18.75" customHeight="1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3"/>
      <c r="W855" s="193"/>
      <c r="X855" s="193"/>
      <c r="Y855" s="193"/>
      <c r="Z855" s="193"/>
      <c r="AA855" s="193"/>
      <c r="AB855" s="193"/>
      <c r="AC855" s="193"/>
      <c r="AD855" s="193"/>
    </row>
    <row r="856" ht="18.75" customHeight="1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3"/>
      <c r="W856" s="193"/>
      <c r="X856" s="193"/>
      <c r="Y856" s="193"/>
      <c r="Z856" s="193"/>
      <c r="AA856" s="193"/>
      <c r="AB856" s="193"/>
      <c r="AC856" s="193"/>
      <c r="AD856" s="193"/>
    </row>
    <row r="857" ht="18.75" customHeight="1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3"/>
      <c r="W857" s="193"/>
      <c r="X857" s="193"/>
      <c r="Y857" s="193"/>
      <c r="Z857" s="193"/>
      <c r="AA857" s="193"/>
      <c r="AB857" s="193"/>
      <c r="AC857" s="193"/>
      <c r="AD857" s="193"/>
    </row>
    <row r="858" ht="18.75" customHeight="1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3"/>
      <c r="W858" s="193"/>
      <c r="X858" s="193"/>
      <c r="Y858" s="193"/>
      <c r="Z858" s="193"/>
      <c r="AA858" s="193"/>
      <c r="AB858" s="193"/>
      <c r="AC858" s="193"/>
      <c r="AD858" s="193"/>
    </row>
    <row r="859" ht="18.75" customHeight="1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3"/>
      <c r="W859" s="193"/>
      <c r="X859" s="193"/>
      <c r="Y859" s="193"/>
      <c r="Z859" s="193"/>
      <c r="AA859" s="193"/>
      <c r="AB859" s="193"/>
      <c r="AC859" s="193"/>
      <c r="AD859" s="193"/>
    </row>
    <row r="860" ht="18.75" customHeight="1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3"/>
      <c r="W860" s="193"/>
      <c r="X860" s="193"/>
      <c r="Y860" s="193"/>
      <c r="Z860" s="193"/>
      <c r="AA860" s="193"/>
      <c r="AB860" s="193"/>
      <c r="AC860" s="193"/>
      <c r="AD860" s="193"/>
    </row>
    <row r="861" ht="18.75" customHeight="1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3"/>
      <c r="W861" s="193"/>
      <c r="X861" s="193"/>
      <c r="Y861" s="193"/>
      <c r="Z861" s="193"/>
      <c r="AA861" s="193"/>
      <c r="AB861" s="193"/>
      <c r="AC861" s="193"/>
      <c r="AD861" s="193"/>
    </row>
    <row r="862" ht="18.75" customHeight="1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3"/>
      <c r="W862" s="193"/>
      <c r="X862" s="193"/>
      <c r="Y862" s="193"/>
      <c r="Z862" s="193"/>
      <c r="AA862" s="193"/>
      <c r="AB862" s="193"/>
      <c r="AC862" s="193"/>
      <c r="AD862" s="193"/>
    </row>
    <row r="863" ht="18.75" customHeight="1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3"/>
      <c r="W863" s="193"/>
      <c r="X863" s="193"/>
      <c r="Y863" s="193"/>
      <c r="Z863" s="193"/>
      <c r="AA863" s="193"/>
      <c r="AB863" s="193"/>
      <c r="AC863" s="193"/>
      <c r="AD863" s="193"/>
    </row>
    <row r="864" ht="18.75" customHeight="1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3"/>
      <c r="W864" s="193"/>
      <c r="X864" s="193"/>
      <c r="Y864" s="193"/>
      <c r="Z864" s="193"/>
      <c r="AA864" s="193"/>
      <c r="AB864" s="193"/>
      <c r="AC864" s="193"/>
      <c r="AD864" s="193"/>
    </row>
    <row r="865" ht="18.75" customHeight="1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3"/>
      <c r="W865" s="193"/>
      <c r="X865" s="193"/>
      <c r="Y865" s="193"/>
      <c r="Z865" s="193"/>
      <c r="AA865" s="193"/>
      <c r="AB865" s="193"/>
      <c r="AC865" s="193"/>
      <c r="AD865" s="193"/>
    </row>
    <row r="866" ht="18.75" customHeight="1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3"/>
      <c r="W866" s="193"/>
      <c r="X866" s="193"/>
      <c r="Y866" s="193"/>
      <c r="Z866" s="193"/>
      <c r="AA866" s="193"/>
      <c r="AB866" s="193"/>
      <c r="AC866" s="193"/>
      <c r="AD866" s="193"/>
    </row>
    <row r="867" ht="18.75" customHeight="1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  <c r="W867" s="193"/>
      <c r="X867" s="193"/>
      <c r="Y867" s="193"/>
      <c r="Z867" s="193"/>
      <c r="AA867" s="193"/>
      <c r="AB867" s="193"/>
      <c r="AC867" s="193"/>
      <c r="AD867" s="193"/>
    </row>
    <row r="868" ht="18.75" customHeight="1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3"/>
      <c r="W868" s="193"/>
      <c r="X868" s="193"/>
      <c r="Y868" s="193"/>
      <c r="Z868" s="193"/>
      <c r="AA868" s="193"/>
      <c r="AB868" s="193"/>
      <c r="AC868" s="193"/>
      <c r="AD868" s="193"/>
    </row>
    <row r="869" ht="18.75" customHeight="1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3"/>
      <c r="W869" s="193"/>
      <c r="X869" s="193"/>
      <c r="Y869" s="193"/>
      <c r="Z869" s="193"/>
      <c r="AA869" s="193"/>
      <c r="AB869" s="193"/>
      <c r="AC869" s="193"/>
      <c r="AD869" s="193"/>
    </row>
    <row r="870" ht="18.75" customHeight="1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3"/>
      <c r="W870" s="193"/>
      <c r="X870" s="193"/>
      <c r="Y870" s="193"/>
      <c r="Z870" s="193"/>
      <c r="AA870" s="193"/>
      <c r="AB870" s="193"/>
      <c r="AC870" s="193"/>
      <c r="AD870" s="193"/>
    </row>
    <row r="871" ht="18.75" customHeight="1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3"/>
      <c r="W871" s="193"/>
      <c r="X871" s="193"/>
      <c r="Y871" s="193"/>
      <c r="Z871" s="193"/>
      <c r="AA871" s="193"/>
      <c r="AB871" s="193"/>
      <c r="AC871" s="193"/>
      <c r="AD871" s="193"/>
    </row>
    <row r="872" ht="18.75" customHeight="1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3"/>
      <c r="W872" s="193"/>
      <c r="X872" s="193"/>
      <c r="Y872" s="193"/>
      <c r="Z872" s="193"/>
      <c r="AA872" s="193"/>
      <c r="AB872" s="193"/>
      <c r="AC872" s="193"/>
      <c r="AD872" s="193"/>
    </row>
    <row r="873" ht="18.75" customHeight="1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3"/>
      <c r="W873" s="193"/>
      <c r="X873" s="193"/>
      <c r="Y873" s="193"/>
      <c r="Z873" s="193"/>
      <c r="AA873" s="193"/>
      <c r="AB873" s="193"/>
      <c r="AC873" s="193"/>
      <c r="AD873" s="193"/>
    </row>
    <row r="874" ht="18.75" customHeight="1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3"/>
      <c r="W874" s="193"/>
      <c r="X874" s="193"/>
      <c r="Y874" s="193"/>
      <c r="Z874" s="193"/>
      <c r="AA874" s="193"/>
      <c r="AB874" s="193"/>
      <c r="AC874" s="193"/>
      <c r="AD874" s="193"/>
    </row>
    <row r="875" ht="18.75" customHeight="1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3"/>
      <c r="W875" s="193"/>
      <c r="X875" s="193"/>
      <c r="Y875" s="193"/>
      <c r="Z875" s="193"/>
      <c r="AA875" s="193"/>
      <c r="AB875" s="193"/>
      <c r="AC875" s="193"/>
      <c r="AD875" s="193"/>
    </row>
    <row r="876" ht="18.75" customHeight="1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3"/>
      <c r="W876" s="193"/>
      <c r="X876" s="193"/>
      <c r="Y876" s="193"/>
      <c r="Z876" s="193"/>
      <c r="AA876" s="193"/>
      <c r="AB876" s="193"/>
      <c r="AC876" s="193"/>
      <c r="AD876" s="193"/>
    </row>
    <row r="877" ht="18.75" customHeight="1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3"/>
      <c r="W877" s="193"/>
      <c r="X877" s="193"/>
      <c r="Y877" s="193"/>
      <c r="Z877" s="193"/>
      <c r="AA877" s="193"/>
      <c r="AB877" s="193"/>
      <c r="AC877" s="193"/>
      <c r="AD877" s="193"/>
    </row>
    <row r="878" ht="18.75" customHeight="1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3"/>
      <c r="W878" s="193"/>
      <c r="X878" s="193"/>
      <c r="Y878" s="193"/>
      <c r="Z878" s="193"/>
      <c r="AA878" s="193"/>
      <c r="AB878" s="193"/>
      <c r="AC878" s="193"/>
      <c r="AD878" s="193"/>
    </row>
    <row r="879" ht="18.75" customHeight="1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3"/>
      <c r="W879" s="193"/>
      <c r="X879" s="193"/>
      <c r="Y879" s="193"/>
      <c r="Z879" s="193"/>
      <c r="AA879" s="193"/>
      <c r="AB879" s="193"/>
      <c r="AC879" s="193"/>
      <c r="AD879" s="193"/>
    </row>
    <row r="880" ht="18.75" customHeight="1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3"/>
      <c r="W880" s="193"/>
      <c r="X880" s="193"/>
      <c r="Y880" s="193"/>
      <c r="Z880" s="193"/>
      <c r="AA880" s="193"/>
      <c r="AB880" s="193"/>
      <c r="AC880" s="193"/>
      <c r="AD880" s="193"/>
    </row>
    <row r="881" ht="18.75" customHeight="1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3"/>
      <c r="W881" s="193"/>
      <c r="X881" s="193"/>
      <c r="Y881" s="193"/>
      <c r="Z881" s="193"/>
      <c r="AA881" s="193"/>
      <c r="AB881" s="193"/>
      <c r="AC881" s="193"/>
      <c r="AD881" s="193"/>
    </row>
    <row r="882" ht="18.75" customHeight="1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3"/>
      <c r="W882" s="193"/>
      <c r="X882" s="193"/>
      <c r="Y882" s="193"/>
      <c r="Z882" s="193"/>
      <c r="AA882" s="193"/>
      <c r="AB882" s="193"/>
      <c r="AC882" s="193"/>
      <c r="AD882" s="193"/>
    </row>
    <row r="883" ht="18.75" customHeight="1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3"/>
      <c r="W883" s="193"/>
      <c r="X883" s="193"/>
      <c r="Y883" s="193"/>
      <c r="Z883" s="193"/>
      <c r="AA883" s="193"/>
      <c r="AB883" s="193"/>
      <c r="AC883" s="193"/>
      <c r="AD883" s="193"/>
    </row>
    <row r="884" ht="18.75" customHeight="1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3"/>
      <c r="W884" s="193"/>
      <c r="X884" s="193"/>
      <c r="Y884" s="193"/>
      <c r="Z884" s="193"/>
      <c r="AA884" s="193"/>
      <c r="AB884" s="193"/>
      <c r="AC884" s="193"/>
      <c r="AD884" s="193"/>
    </row>
    <row r="885" ht="18.75" customHeight="1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3"/>
      <c r="W885" s="193"/>
      <c r="X885" s="193"/>
      <c r="Y885" s="193"/>
      <c r="Z885" s="193"/>
      <c r="AA885" s="193"/>
      <c r="AB885" s="193"/>
      <c r="AC885" s="193"/>
      <c r="AD885" s="193"/>
    </row>
    <row r="886" ht="18.75" customHeight="1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3"/>
      <c r="W886" s="193"/>
      <c r="X886" s="193"/>
      <c r="Y886" s="193"/>
      <c r="Z886" s="193"/>
      <c r="AA886" s="193"/>
      <c r="AB886" s="193"/>
      <c r="AC886" s="193"/>
      <c r="AD886" s="193"/>
    </row>
    <row r="887" ht="18.75" customHeight="1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3"/>
      <c r="W887" s="193"/>
      <c r="X887" s="193"/>
      <c r="Y887" s="193"/>
      <c r="Z887" s="193"/>
      <c r="AA887" s="193"/>
      <c r="AB887" s="193"/>
      <c r="AC887" s="193"/>
      <c r="AD887" s="193"/>
    </row>
    <row r="888" ht="18.75" customHeight="1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3"/>
      <c r="W888" s="193"/>
      <c r="X888" s="193"/>
      <c r="Y888" s="193"/>
      <c r="Z888" s="193"/>
      <c r="AA888" s="193"/>
      <c r="AB888" s="193"/>
      <c r="AC888" s="193"/>
      <c r="AD888" s="193"/>
    </row>
    <row r="889" ht="18.75" customHeight="1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3"/>
      <c r="W889" s="193"/>
      <c r="X889" s="193"/>
      <c r="Y889" s="193"/>
      <c r="Z889" s="193"/>
      <c r="AA889" s="193"/>
      <c r="AB889" s="193"/>
      <c r="AC889" s="193"/>
      <c r="AD889" s="193"/>
    </row>
    <row r="890" ht="18.75" customHeight="1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3"/>
      <c r="W890" s="193"/>
      <c r="X890" s="193"/>
      <c r="Y890" s="193"/>
      <c r="Z890" s="193"/>
      <c r="AA890" s="193"/>
      <c r="AB890" s="193"/>
      <c r="AC890" s="193"/>
      <c r="AD890" s="193"/>
    </row>
    <row r="891" ht="18.75" customHeight="1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3"/>
      <c r="W891" s="193"/>
      <c r="X891" s="193"/>
      <c r="Y891" s="193"/>
      <c r="Z891" s="193"/>
      <c r="AA891" s="193"/>
      <c r="AB891" s="193"/>
      <c r="AC891" s="193"/>
      <c r="AD891" s="193"/>
    </row>
    <row r="892" ht="18.75" customHeight="1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3"/>
      <c r="W892" s="193"/>
      <c r="X892" s="193"/>
      <c r="Y892" s="193"/>
      <c r="Z892" s="193"/>
      <c r="AA892" s="193"/>
      <c r="AB892" s="193"/>
      <c r="AC892" s="193"/>
      <c r="AD892" s="193"/>
    </row>
    <row r="893" ht="18.75" customHeight="1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3"/>
      <c r="W893" s="193"/>
      <c r="X893" s="193"/>
      <c r="Y893" s="193"/>
      <c r="Z893" s="193"/>
      <c r="AA893" s="193"/>
      <c r="AB893" s="193"/>
      <c r="AC893" s="193"/>
      <c r="AD893" s="193"/>
    </row>
    <row r="894" ht="18.75" customHeight="1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3"/>
      <c r="W894" s="193"/>
      <c r="X894" s="193"/>
      <c r="Y894" s="193"/>
      <c r="Z894" s="193"/>
      <c r="AA894" s="193"/>
      <c r="AB894" s="193"/>
      <c r="AC894" s="193"/>
      <c r="AD894" s="193"/>
    </row>
    <row r="895" ht="18.75" customHeight="1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3"/>
      <c r="W895" s="193"/>
      <c r="X895" s="193"/>
      <c r="Y895" s="193"/>
      <c r="Z895" s="193"/>
      <c r="AA895" s="193"/>
      <c r="AB895" s="193"/>
      <c r="AC895" s="193"/>
      <c r="AD895" s="193"/>
    </row>
    <row r="896" ht="18.75" customHeight="1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3"/>
      <c r="W896" s="193"/>
      <c r="X896" s="193"/>
      <c r="Y896" s="193"/>
      <c r="Z896" s="193"/>
      <c r="AA896" s="193"/>
      <c r="AB896" s="193"/>
      <c r="AC896" s="193"/>
      <c r="AD896" s="193"/>
    </row>
    <row r="897" ht="18.75" customHeight="1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3"/>
      <c r="W897" s="193"/>
      <c r="X897" s="193"/>
      <c r="Y897" s="193"/>
      <c r="Z897" s="193"/>
      <c r="AA897" s="193"/>
      <c r="AB897" s="193"/>
      <c r="AC897" s="193"/>
      <c r="AD897" s="193"/>
    </row>
    <row r="898" ht="18.75" customHeight="1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3"/>
      <c r="W898" s="193"/>
      <c r="X898" s="193"/>
      <c r="Y898" s="193"/>
      <c r="Z898" s="193"/>
      <c r="AA898" s="193"/>
      <c r="AB898" s="193"/>
      <c r="AC898" s="193"/>
      <c r="AD898" s="193"/>
    </row>
    <row r="899" ht="18.75" customHeight="1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3"/>
      <c r="W899" s="193"/>
      <c r="X899" s="193"/>
      <c r="Y899" s="193"/>
      <c r="Z899" s="193"/>
      <c r="AA899" s="193"/>
      <c r="AB899" s="193"/>
      <c r="AC899" s="193"/>
      <c r="AD899" s="193"/>
    </row>
    <row r="900" ht="18.75" customHeight="1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3"/>
      <c r="W900" s="193"/>
      <c r="X900" s="193"/>
      <c r="Y900" s="193"/>
      <c r="Z900" s="193"/>
      <c r="AA900" s="193"/>
      <c r="AB900" s="193"/>
      <c r="AC900" s="193"/>
      <c r="AD900" s="193"/>
    </row>
    <row r="901" ht="18.75" customHeight="1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3"/>
      <c r="W901" s="193"/>
      <c r="X901" s="193"/>
      <c r="Y901" s="193"/>
      <c r="Z901" s="193"/>
      <c r="AA901" s="193"/>
      <c r="AB901" s="193"/>
      <c r="AC901" s="193"/>
      <c r="AD901" s="193"/>
    </row>
    <row r="902" ht="18.75" customHeight="1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3"/>
      <c r="W902" s="193"/>
      <c r="X902" s="193"/>
      <c r="Y902" s="193"/>
      <c r="Z902" s="193"/>
      <c r="AA902" s="193"/>
      <c r="AB902" s="193"/>
      <c r="AC902" s="193"/>
      <c r="AD902" s="193"/>
    </row>
    <row r="903" ht="18.75" customHeight="1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3"/>
      <c r="W903" s="193"/>
      <c r="X903" s="193"/>
      <c r="Y903" s="193"/>
      <c r="Z903" s="193"/>
      <c r="AA903" s="193"/>
      <c r="AB903" s="193"/>
      <c r="AC903" s="193"/>
      <c r="AD903" s="193"/>
    </row>
    <row r="904" ht="18.75" customHeight="1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3"/>
      <c r="W904" s="193"/>
      <c r="X904" s="193"/>
      <c r="Y904" s="193"/>
      <c r="Z904" s="193"/>
      <c r="AA904" s="193"/>
      <c r="AB904" s="193"/>
      <c r="AC904" s="193"/>
      <c r="AD904" s="193"/>
    </row>
    <row r="905" ht="18.75" customHeight="1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3"/>
      <c r="W905" s="193"/>
      <c r="X905" s="193"/>
      <c r="Y905" s="193"/>
      <c r="Z905" s="193"/>
      <c r="AA905" s="193"/>
      <c r="AB905" s="193"/>
      <c r="AC905" s="193"/>
      <c r="AD905" s="193"/>
    </row>
    <row r="906" ht="18.75" customHeight="1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3"/>
      <c r="W906" s="193"/>
      <c r="X906" s="193"/>
      <c r="Y906" s="193"/>
      <c r="Z906" s="193"/>
      <c r="AA906" s="193"/>
      <c r="AB906" s="193"/>
      <c r="AC906" s="193"/>
      <c r="AD906" s="193"/>
    </row>
    <row r="907" ht="18.75" customHeight="1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3"/>
      <c r="W907" s="193"/>
      <c r="X907" s="193"/>
      <c r="Y907" s="193"/>
      <c r="Z907" s="193"/>
      <c r="AA907" s="193"/>
      <c r="AB907" s="193"/>
      <c r="AC907" s="193"/>
      <c r="AD907" s="193"/>
    </row>
    <row r="908" ht="18.75" customHeight="1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3"/>
      <c r="W908" s="193"/>
      <c r="X908" s="193"/>
      <c r="Y908" s="193"/>
      <c r="Z908" s="193"/>
      <c r="AA908" s="193"/>
      <c r="AB908" s="193"/>
      <c r="AC908" s="193"/>
      <c r="AD908" s="193"/>
    </row>
    <row r="909" ht="18.75" customHeight="1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3"/>
      <c r="W909" s="193"/>
      <c r="X909" s="193"/>
      <c r="Y909" s="193"/>
      <c r="Z909" s="193"/>
      <c r="AA909" s="193"/>
      <c r="AB909" s="193"/>
      <c r="AC909" s="193"/>
      <c r="AD909" s="193"/>
    </row>
    <row r="910" ht="18.75" customHeight="1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3"/>
      <c r="W910" s="193"/>
      <c r="X910" s="193"/>
      <c r="Y910" s="193"/>
      <c r="Z910" s="193"/>
      <c r="AA910" s="193"/>
      <c r="AB910" s="193"/>
      <c r="AC910" s="193"/>
      <c r="AD910" s="193"/>
    </row>
    <row r="911" ht="18.75" customHeight="1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3"/>
      <c r="W911" s="193"/>
      <c r="X911" s="193"/>
      <c r="Y911" s="193"/>
      <c r="Z911" s="193"/>
      <c r="AA911" s="193"/>
      <c r="AB911" s="193"/>
      <c r="AC911" s="193"/>
      <c r="AD911" s="193"/>
    </row>
    <row r="912" ht="18.75" customHeight="1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  <c r="W912" s="193"/>
      <c r="X912" s="193"/>
      <c r="Y912" s="193"/>
      <c r="Z912" s="193"/>
      <c r="AA912" s="193"/>
      <c r="AB912" s="193"/>
      <c r="AC912" s="193"/>
      <c r="AD912" s="193"/>
    </row>
    <row r="913" ht="18.75" customHeight="1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3"/>
      <c r="W913" s="193"/>
      <c r="X913" s="193"/>
      <c r="Y913" s="193"/>
      <c r="Z913" s="193"/>
      <c r="AA913" s="193"/>
      <c r="AB913" s="193"/>
      <c r="AC913" s="193"/>
      <c r="AD913" s="193"/>
    </row>
    <row r="914" ht="18.75" customHeight="1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3"/>
      <c r="W914" s="193"/>
      <c r="X914" s="193"/>
      <c r="Y914" s="193"/>
      <c r="Z914" s="193"/>
      <c r="AA914" s="193"/>
      <c r="AB914" s="193"/>
      <c r="AC914" s="193"/>
      <c r="AD914" s="193"/>
    </row>
    <row r="915" ht="18.75" customHeight="1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3"/>
      <c r="W915" s="193"/>
      <c r="X915" s="193"/>
      <c r="Y915" s="193"/>
      <c r="Z915" s="193"/>
      <c r="AA915" s="193"/>
      <c r="AB915" s="193"/>
      <c r="AC915" s="193"/>
      <c r="AD915" s="193"/>
    </row>
    <row r="916" ht="18.75" customHeight="1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3"/>
      <c r="W916" s="193"/>
      <c r="X916" s="193"/>
      <c r="Y916" s="193"/>
      <c r="Z916" s="193"/>
      <c r="AA916" s="193"/>
      <c r="AB916" s="193"/>
      <c r="AC916" s="193"/>
      <c r="AD916" s="193"/>
    </row>
    <row r="917" ht="18.75" customHeight="1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3"/>
      <c r="W917" s="193"/>
      <c r="X917" s="193"/>
      <c r="Y917" s="193"/>
      <c r="Z917" s="193"/>
      <c r="AA917" s="193"/>
      <c r="AB917" s="193"/>
      <c r="AC917" s="193"/>
      <c r="AD917" s="193"/>
    </row>
    <row r="918" ht="18.75" customHeight="1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3"/>
      <c r="W918" s="193"/>
      <c r="X918" s="193"/>
      <c r="Y918" s="193"/>
      <c r="Z918" s="193"/>
      <c r="AA918" s="193"/>
      <c r="AB918" s="193"/>
      <c r="AC918" s="193"/>
      <c r="AD918" s="193"/>
    </row>
    <row r="919" ht="18.75" customHeight="1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3"/>
      <c r="W919" s="193"/>
      <c r="X919" s="193"/>
      <c r="Y919" s="193"/>
      <c r="Z919" s="193"/>
      <c r="AA919" s="193"/>
      <c r="AB919" s="193"/>
      <c r="AC919" s="193"/>
      <c r="AD919" s="193"/>
    </row>
    <row r="920" ht="18.75" customHeight="1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3"/>
      <c r="W920" s="193"/>
      <c r="X920" s="193"/>
      <c r="Y920" s="193"/>
      <c r="Z920" s="193"/>
      <c r="AA920" s="193"/>
      <c r="AB920" s="193"/>
      <c r="AC920" s="193"/>
      <c r="AD920" s="193"/>
    </row>
    <row r="921" ht="18.75" customHeight="1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3"/>
      <c r="W921" s="193"/>
      <c r="X921" s="193"/>
      <c r="Y921" s="193"/>
      <c r="Z921" s="193"/>
      <c r="AA921" s="193"/>
      <c r="AB921" s="193"/>
      <c r="AC921" s="193"/>
      <c r="AD921" s="193"/>
    </row>
    <row r="922" ht="18.75" customHeight="1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3"/>
      <c r="W922" s="193"/>
      <c r="X922" s="193"/>
      <c r="Y922" s="193"/>
      <c r="Z922" s="193"/>
      <c r="AA922" s="193"/>
      <c r="AB922" s="193"/>
      <c r="AC922" s="193"/>
      <c r="AD922" s="193"/>
    </row>
    <row r="923" ht="18.75" customHeight="1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3"/>
      <c r="W923" s="193"/>
      <c r="X923" s="193"/>
      <c r="Y923" s="193"/>
      <c r="Z923" s="193"/>
      <c r="AA923" s="193"/>
      <c r="AB923" s="193"/>
      <c r="AC923" s="193"/>
      <c r="AD923" s="193"/>
    </row>
    <row r="924" ht="18.75" customHeight="1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3"/>
      <c r="W924" s="193"/>
      <c r="X924" s="193"/>
      <c r="Y924" s="193"/>
      <c r="Z924" s="193"/>
      <c r="AA924" s="193"/>
      <c r="AB924" s="193"/>
      <c r="AC924" s="193"/>
      <c r="AD924" s="193"/>
    </row>
    <row r="925" ht="18.75" customHeight="1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3"/>
      <c r="W925" s="193"/>
      <c r="X925" s="193"/>
      <c r="Y925" s="193"/>
      <c r="Z925" s="193"/>
      <c r="AA925" s="193"/>
      <c r="AB925" s="193"/>
      <c r="AC925" s="193"/>
      <c r="AD925" s="193"/>
    </row>
    <row r="926" ht="18.75" customHeight="1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3"/>
      <c r="W926" s="193"/>
      <c r="X926" s="193"/>
      <c r="Y926" s="193"/>
      <c r="Z926" s="193"/>
      <c r="AA926" s="193"/>
      <c r="AB926" s="193"/>
      <c r="AC926" s="193"/>
      <c r="AD926" s="193"/>
    </row>
    <row r="927" ht="18.75" customHeight="1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3"/>
      <c r="W927" s="193"/>
      <c r="X927" s="193"/>
      <c r="Y927" s="193"/>
      <c r="Z927" s="193"/>
      <c r="AA927" s="193"/>
      <c r="AB927" s="193"/>
      <c r="AC927" s="193"/>
      <c r="AD927" s="193"/>
    </row>
    <row r="928" ht="18.75" customHeight="1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3"/>
      <c r="W928" s="193"/>
      <c r="X928" s="193"/>
      <c r="Y928" s="193"/>
      <c r="Z928" s="193"/>
      <c r="AA928" s="193"/>
      <c r="AB928" s="193"/>
      <c r="AC928" s="193"/>
      <c r="AD928" s="193"/>
    </row>
    <row r="929" ht="18.75" customHeight="1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3"/>
      <c r="W929" s="193"/>
      <c r="X929" s="193"/>
      <c r="Y929" s="193"/>
      <c r="Z929" s="193"/>
      <c r="AA929" s="193"/>
      <c r="AB929" s="193"/>
      <c r="AC929" s="193"/>
      <c r="AD929" s="193"/>
    </row>
    <row r="930" ht="18.75" customHeight="1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3"/>
      <c r="W930" s="193"/>
      <c r="X930" s="193"/>
      <c r="Y930" s="193"/>
      <c r="Z930" s="193"/>
      <c r="AA930" s="193"/>
      <c r="AB930" s="193"/>
      <c r="AC930" s="193"/>
      <c r="AD930" s="193"/>
    </row>
    <row r="931" ht="18.75" customHeight="1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3"/>
      <c r="W931" s="193"/>
      <c r="X931" s="193"/>
      <c r="Y931" s="193"/>
      <c r="Z931" s="193"/>
      <c r="AA931" s="193"/>
      <c r="AB931" s="193"/>
      <c r="AC931" s="193"/>
      <c r="AD931" s="193"/>
    </row>
    <row r="932" ht="18.75" customHeight="1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3"/>
      <c r="W932" s="193"/>
      <c r="X932" s="193"/>
      <c r="Y932" s="193"/>
      <c r="Z932" s="193"/>
      <c r="AA932" s="193"/>
      <c r="AB932" s="193"/>
      <c r="AC932" s="193"/>
      <c r="AD932" s="193"/>
    </row>
    <row r="933" ht="18.75" customHeight="1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3"/>
      <c r="W933" s="193"/>
      <c r="X933" s="193"/>
      <c r="Y933" s="193"/>
      <c r="Z933" s="193"/>
      <c r="AA933" s="193"/>
      <c r="AB933" s="193"/>
      <c r="AC933" s="193"/>
      <c r="AD933" s="193"/>
    </row>
    <row r="934" ht="18.75" customHeight="1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3"/>
      <c r="W934" s="193"/>
      <c r="X934" s="193"/>
      <c r="Y934" s="193"/>
      <c r="Z934" s="193"/>
      <c r="AA934" s="193"/>
      <c r="AB934" s="193"/>
      <c r="AC934" s="193"/>
      <c r="AD934" s="193"/>
    </row>
    <row r="935" ht="18.75" customHeight="1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3"/>
      <c r="W935" s="193"/>
      <c r="X935" s="193"/>
      <c r="Y935" s="193"/>
      <c r="Z935" s="193"/>
      <c r="AA935" s="193"/>
      <c r="AB935" s="193"/>
      <c r="AC935" s="193"/>
      <c r="AD935" s="193"/>
    </row>
    <row r="936" ht="18.75" customHeight="1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3"/>
      <c r="W936" s="193"/>
      <c r="X936" s="193"/>
      <c r="Y936" s="193"/>
      <c r="Z936" s="193"/>
      <c r="AA936" s="193"/>
      <c r="AB936" s="193"/>
      <c r="AC936" s="193"/>
      <c r="AD936" s="193"/>
    </row>
    <row r="937" ht="18.75" customHeight="1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3"/>
      <c r="W937" s="193"/>
      <c r="X937" s="193"/>
      <c r="Y937" s="193"/>
      <c r="Z937" s="193"/>
      <c r="AA937" s="193"/>
      <c r="AB937" s="193"/>
      <c r="AC937" s="193"/>
      <c r="AD937" s="193"/>
    </row>
    <row r="938" ht="18.75" customHeight="1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3"/>
      <c r="W938" s="193"/>
      <c r="X938" s="193"/>
      <c r="Y938" s="193"/>
      <c r="Z938" s="193"/>
      <c r="AA938" s="193"/>
      <c r="AB938" s="193"/>
      <c r="AC938" s="193"/>
      <c r="AD938" s="193"/>
    </row>
    <row r="939" ht="18.75" customHeight="1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3"/>
      <c r="W939" s="193"/>
      <c r="X939" s="193"/>
      <c r="Y939" s="193"/>
      <c r="Z939" s="193"/>
      <c r="AA939" s="193"/>
      <c r="AB939" s="193"/>
      <c r="AC939" s="193"/>
      <c r="AD939" s="193"/>
    </row>
    <row r="940" ht="18.75" customHeight="1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3"/>
      <c r="W940" s="193"/>
      <c r="X940" s="193"/>
      <c r="Y940" s="193"/>
      <c r="Z940" s="193"/>
      <c r="AA940" s="193"/>
      <c r="AB940" s="193"/>
      <c r="AC940" s="193"/>
      <c r="AD940" s="193"/>
    </row>
    <row r="941" ht="18.75" customHeight="1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3"/>
      <c r="W941" s="193"/>
      <c r="X941" s="193"/>
      <c r="Y941" s="193"/>
      <c r="Z941" s="193"/>
      <c r="AA941" s="193"/>
      <c r="AB941" s="193"/>
      <c r="AC941" s="193"/>
      <c r="AD941" s="193"/>
    </row>
    <row r="942" ht="18.75" customHeight="1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3"/>
      <c r="W942" s="193"/>
      <c r="X942" s="193"/>
      <c r="Y942" s="193"/>
      <c r="Z942" s="193"/>
      <c r="AA942" s="193"/>
      <c r="AB942" s="193"/>
      <c r="AC942" s="193"/>
      <c r="AD942" s="193"/>
    </row>
    <row r="943" ht="18.75" customHeight="1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3"/>
      <c r="W943" s="193"/>
      <c r="X943" s="193"/>
      <c r="Y943" s="193"/>
      <c r="Z943" s="193"/>
      <c r="AA943" s="193"/>
      <c r="AB943" s="193"/>
      <c r="AC943" s="193"/>
      <c r="AD943" s="193"/>
    </row>
    <row r="944" ht="18.75" customHeight="1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3"/>
      <c r="W944" s="193"/>
      <c r="X944" s="193"/>
      <c r="Y944" s="193"/>
      <c r="Z944" s="193"/>
      <c r="AA944" s="193"/>
      <c r="AB944" s="193"/>
      <c r="AC944" s="193"/>
      <c r="AD944" s="193"/>
    </row>
    <row r="945" ht="18.75" customHeight="1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3"/>
      <c r="W945" s="193"/>
      <c r="X945" s="193"/>
      <c r="Y945" s="193"/>
      <c r="Z945" s="193"/>
      <c r="AA945" s="193"/>
      <c r="AB945" s="193"/>
      <c r="AC945" s="193"/>
      <c r="AD945" s="193"/>
    </row>
    <row r="946" ht="18.75" customHeight="1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3"/>
      <c r="W946" s="193"/>
      <c r="X946" s="193"/>
      <c r="Y946" s="193"/>
      <c r="Z946" s="193"/>
      <c r="AA946" s="193"/>
      <c r="AB946" s="193"/>
      <c r="AC946" s="193"/>
      <c r="AD946" s="193"/>
    </row>
    <row r="947" ht="18.75" customHeight="1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3"/>
      <c r="W947" s="193"/>
      <c r="X947" s="193"/>
      <c r="Y947" s="193"/>
      <c r="Z947" s="193"/>
      <c r="AA947" s="193"/>
      <c r="AB947" s="193"/>
      <c r="AC947" s="193"/>
      <c r="AD947" s="193"/>
    </row>
    <row r="948" ht="18.75" customHeight="1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3"/>
      <c r="W948" s="193"/>
      <c r="X948" s="193"/>
      <c r="Y948" s="193"/>
      <c r="Z948" s="193"/>
      <c r="AA948" s="193"/>
      <c r="AB948" s="193"/>
      <c r="AC948" s="193"/>
      <c r="AD948" s="193"/>
    </row>
    <row r="949" ht="18.75" customHeight="1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3"/>
      <c r="W949" s="193"/>
      <c r="X949" s="193"/>
      <c r="Y949" s="193"/>
      <c r="Z949" s="193"/>
      <c r="AA949" s="193"/>
      <c r="AB949" s="193"/>
      <c r="AC949" s="193"/>
      <c r="AD949" s="193"/>
    </row>
    <row r="950" ht="18.75" customHeight="1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3"/>
      <c r="W950" s="193"/>
      <c r="X950" s="193"/>
      <c r="Y950" s="193"/>
      <c r="Z950" s="193"/>
      <c r="AA950" s="193"/>
      <c r="AB950" s="193"/>
      <c r="AC950" s="193"/>
      <c r="AD950" s="193"/>
    </row>
    <row r="951" ht="18.75" customHeight="1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3"/>
      <c r="W951" s="193"/>
      <c r="X951" s="193"/>
      <c r="Y951" s="193"/>
      <c r="Z951" s="193"/>
      <c r="AA951" s="193"/>
      <c r="AB951" s="193"/>
      <c r="AC951" s="193"/>
      <c r="AD951" s="193"/>
    </row>
    <row r="952" ht="18.75" customHeight="1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3"/>
      <c r="W952" s="193"/>
      <c r="X952" s="193"/>
      <c r="Y952" s="193"/>
      <c r="Z952" s="193"/>
      <c r="AA952" s="193"/>
      <c r="AB952" s="193"/>
      <c r="AC952" s="193"/>
      <c r="AD952" s="193"/>
    </row>
    <row r="953" ht="18.75" customHeight="1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3"/>
      <c r="W953" s="193"/>
      <c r="X953" s="193"/>
      <c r="Y953" s="193"/>
      <c r="Z953" s="193"/>
      <c r="AA953" s="193"/>
      <c r="AB953" s="193"/>
      <c r="AC953" s="193"/>
      <c r="AD953" s="193"/>
    </row>
    <row r="954" ht="18.75" customHeight="1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3"/>
      <c r="W954" s="193"/>
      <c r="X954" s="193"/>
      <c r="Y954" s="193"/>
      <c r="Z954" s="193"/>
      <c r="AA954" s="193"/>
      <c r="AB954" s="193"/>
      <c r="AC954" s="193"/>
      <c r="AD954" s="193"/>
    </row>
    <row r="955" ht="18.75" customHeight="1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3"/>
      <c r="W955" s="193"/>
      <c r="X955" s="193"/>
      <c r="Y955" s="193"/>
      <c r="Z955" s="193"/>
      <c r="AA955" s="193"/>
      <c r="AB955" s="193"/>
      <c r="AC955" s="193"/>
      <c r="AD955" s="193"/>
    </row>
    <row r="956" ht="18.75" customHeight="1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93"/>
      <c r="W956" s="193"/>
      <c r="X956" s="193"/>
      <c r="Y956" s="193"/>
      <c r="Z956" s="193"/>
      <c r="AA956" s="193"/>
      <c r="AB956" s="193"/>
      <c r="AC956" s="193"/>
      <c r="AD956" s="193"/>
    </row>
    <row r="957" ht="18.75" customHeight="1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93"/>
      <c r="W957" s="193"/>
      <c r="X957" s="193"/>
      <c r="Y957" s="193"/>
      <c r="Z957" s="193"/>
      <c r="AA957" s="193"/>
      <c r="AB957" s="193"/>
      <c r="AC957" s="193"/>
      <c r="AD957" s="193"/>
    </row>
    <row r="958" ht="18.75" customHeight="1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93"/>
      <c r="W958" s="193"/>
      <c r="X958" s="193"/>
      <c r="Y958" s="193"/>
      <c r="Z958" s="193"/>
      <c r="AA958" s="193"/>
      <c r="AB958" s="193"/>
      <c r="AC958" s="193"/>
      <c r="AD958" s="193"/>
    </row>
    <row r="959" ht="18.75" customHeight="1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93"/>
      <c r="W959" s="193"/>
      <c r="X959" s="193"/>
      <c r="Y959" s="193"/>
      <c r="Z959" s="193"/>
      <c r="AA959" s="193"/>
      <c r="AB959" s="193"/>
      <c r="AC959" s="193"/>
      <c r="AD959" s="193"/>
    </row>
    <row r="960" ht="18.75" customHeight="1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93"/>
      <c r="W960" s="193"/>
      <c r="X960" s="193"/>
      <c r="Y960" s="193"/>
      <c r="Z960" s="193"/>
      <c r="AA960" s="193"/>
      <c r="AB960" s="193"/>
      <c r="AC960" s="193"/>
      <c r="AD960" s="193"/>
    </row>
    <row r="961" ht="18.75" customHeight="1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93"/>
      <c r="W961" s="193"/>
      <c r="X961" s="193"/>
      <c r="Y961" s="193"/>
      <c r="Z961" s="193"/>
      <c r="AA961" s="193"/>
      <c r="AB961" s="193"/>
      <c r="AC961" s="193"/>
      <c r="AD961" s="193"/>
    </row>
    <row r="962" ht="18.75" customHeight="1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93"/>
      <c r="W962" s="193"/>
      <c r="X962" s="193"/>
      <c r="Y962" s="193"/>
      <c r="Z962" s="193"/>
      <c r="AA962" s="193"/>
      <c r="AB962" s="193"/>
      <c r="AC962" s="193"/>
      <c r="AD962" s="193"/>
    </row>
    <row r="963" ht="18.75" customHeight="1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  <c r="X963" s="193"/>
      <c r="Y963" s="193"/>
      <c r="Z963" s="193"/>
      <c r="AA963" s="193"/>
      <c r="AB963" s="193"/>
      <c r="AC963" s="193"/>
      <c r="AD963" s="193"/>
    </row>
    <row r="964" ht="18.75" customHeight="1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93"/>
      <c r="W964" s="193"/>
      <c r="X964" s="193"/>
      <c r="Y964" s="193"/>
      <c r="Z964" s="193"/>
      <c r="AA964" s="193"/>
      <c r="AB964" s="193"/>
      <c r="AC964" s="193"/>
      <c r="AD964" s="193"/>
    </row>
    <row r="965" ht="18.75" customHeight="1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93"/>
      <c r="W965" s="193"/>
      <c r="X965" s="193"/>
      <c r="Y965" s="193"/>
      <c r="Z965" s="193"/>
      <c r="AA965" s="193"/>
      <c r="AB965" s="193"/>
      <c r="AC965" s="193"/>
      <c r="AD965" s="193"/>
    </row>
    <row r="966" ht="18.75" customHeight="1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  <c r="W966" s="193"/>
      <c r="X966" s="193"/>
      <c r="Y966" s="193"/>
      <c r="Z966" s="193"/>
      <c r="AA966" s="193"/>
      <c r="AB966" s="193"/>
      <c r="AC966" s="193"/>
      <c r="AD966" s="193"/>
    </row>
    <row r="967" ht="18.75" customHeight="1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93"/>
      <c r="W967" s="193"/>
      <c r="X967" s="193"/>
      <c r="Y967" s="193"/>
      <c r="Z967" s="193"/>
      <c r="AA967" s="193"/>
      <c r="AB967" s="193"/>
      <c r="AC967" s="193"/>
      <c r="AD967" s="193"/>
    </row>
    <row r="968" ht="18.75" customHeight="1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93"/>
      <c r="W968" s="193"/>
      <c r="X968" s="193"/>
      <c r="Y968" s="193"/>
      <c r="Z968" s="193"/>
      <c r="AA968" s="193"/>
      <c r="AB968" s="193"/>
      <c r="AC968" s="193"/>
      <c r="AD968" s="193"/>
    </row>
    <row r="969" ht="18.75" customHeight="1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93"/>
      <c r="W969" s="193"/>
      <c r="X969" s="193"/>
      <c r="Y969" s="193"/>
      <c r="Z969" s="193"/>
      <c r="AA969" s="193"/>
      <c r="AB969" s="193"/>
      <c r="AC969" s="193"/>
      <c r="AD969" s="193"/>
    </row>
    <row r="970" ht="18.75" customHeight="1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93"/>
      <c r="W970" s="193"/>
      <c r="X970" s="193"/>
      <c r="Y970" s="193"/>
      <c r="Z970" s="193"/>
      <c r="AA970" s="193"/>
      <c r="AB970" s="193"/>
      <c r="AC970" s="193"/>
      <c r="AD970" s="193"/>
    </row>
    <row r="971" ht="18.75" customHeight="1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93"/>
      <c r="W971" s="193"/>
      <c r="X971" s="193"/>
      <c r="Y971" s="193"/>
      <c r="Z971" s="193"/>
      <c r="AA971" s="193"/>
      <c r="AB971" s="193"/>
      <c r="AC971" s="193"/>
      <c r="AD971" s="193"/>
    </row>
    <row r="972" ht="18.75" customHeight="1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93"/>
      <c r="W972" s="193"/>
      <c r="X972" s="193"/>
      <c r="Y972" s="193"/>
      <c r="Z972" s="193"/>
      <c r="AA972" s="193"/>
      <c r="AB972" s="193"/>
      <c r="AC972" s="193"/>
      <c r="AD972" s="193"/>
    </row>
    <row r="973" ht="18.75" customHeight="1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93"/>
      <c r="W973" s="193"/>
      <c r="X973" s="193"/>
      <c r="Y973" s="193"/>
      <c r="Z973" s="193"/>
      <c r="AA973" s="193"/>
      <c r="AB973" s="193"/>
      <c r="AC973" s="193"/>
      <c r="AD973" s="193"/>
    </row>
    <row r="974" ht="18.75" customHeight="1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93"/>
      <c r="W974" s="193"/>
      <c r="X974" s="193"/>
      <c r="Y974" s="193"/>
      <c r="Z974" s="193"/>
      <c r="AA974" s="193"/>
      <c r="AB974" s="193"/>
      <c r="AC974" s="193"/>
      <c r="AD974" s="193"/>
    </row>
    <row r="975" ht="18.75" customHeight="1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93"/>
      <c r="W975" s="193"/>
      <c r="X975" s="193"/>
      <c r="Y975" s="193"/>
      <c r="Z975" s="193"/>
      <c r="AA975" s="193"/>
      <c r="AB975" s="193"/>
      <c r="AC975" s="193"/>
      <c r="AD975" s="193"/>
    </row>
    <row r="976" ht="18.75" customHeight="1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93"/>
      <c r="W976" s="193"/>
      <c r="X976" s="193"/>
      <c r="Y976" s="193"/>
      <c r="Z976" s="193"/>
      <c r="AA976" s="193"/>
      <c r="AB976" s="193"/>
      <c r="AC976" s="193"/>
      <c r="AD976" s="193"/>
    </row>
    <row r="977" ht="18.75" customHeight="1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93"/>
      <c r="W977" s="193"/>
      <c r="X977" s="193"/>
      <c r="Y977" s="193"/>
      <c r="Z977" s="193"/>
      <c r="AA977" s="193"/>
      <c r="AB977" s="193"/>
      <c r="AC977" s="193"/>
      <c r="AD977" s="193"/>
    </row>
    <row r="978" ht="18.75" customHeight="1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93"/>
      <c r="W978" s="193"/>
      <c r="X978" s="193"/>
      <c r="Y978" s="193"/>
      <c r="Z978" s="193"/>
      <c r="AA978" s="193"/>
      <c r="AB978" s="193"/>
      <c r="AC978" s="193"/>
      <c r="AD978" s="193"/>
    </row>
    <row r="979" ht="18.75" customHeight="1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93"/>
      <c r="W979" s="193"/>
      <c r="X979" s="193"/>
      <c r="Y979" s="193"/>
      <c r="Z979" s="193"/>
      <c r="AA979" s="193"/>
      <c r="AB979" s="193"/>
      <c r="AC979" s="193"/>
      <c r="AD979" s="193"/>
    </row>
    <row r="980" ht="18.75" customHeight="1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93"/>
      <c r="W980" s="193"/>
      <c r="X980" s="193"/>
      <c r="Y980" s="193"/>
      <c r="Z980" s="193"/>
      <c r="AA980" s="193"/>
      <c r="AB980" s="193"/>
      <c r="AC980" s="193"/>
      <c r="AD980" s="193"/>
    </row>
    <row r="981" ht="18.75" customHeight="1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93"/>
      <c r="W981" s="193"/>
      <c r="X981" s="193"/>
      <c r="Y981" s="193"/>
      <c r="Z981" s="193"/>
      <c r="AA981" s="193"/>
      <c r="AB981" s="193"/>
      <c r="AC981" s="193"/>
      <c r="AD981" s="193"/>
    </row>
    <row r="982" ht="18.75" customHeight="1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93"/>
      <c r="W982" s="193"/>
      <c r="X982" s="193"/>
      <c r="Y982" s="193"/>
      <c r="Z982" s="193"/>
      <c r="AA982" s="193"/>
      <c r="AB982" s="193"/>
      <c r="AC982" s="193"/>
      <c r="AD982" s="193"/>
    </row>
    <row r="983" ht="18.75" customHeight="1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93"/>
      <c r="W983" s="193"/>
      <c r="X983" s="193"/>
      <c r="Y983" s="193"/>
      <c r="Z983" s="193"/>
      <c r="AA983" s="193"/>
      <c r="AB983" s="193"/>
      <c r="AC983" s="193"/>
      <c r="AD983" s="193"/>
    </row>
    <row r="984" ht="18.75" customHeight="1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93"/>
      <c r="W984" s="193"/>
      <c r="X984" s="193"/>
      <c r="Y984" s="193"/>
      <c r="Z984" s="193"/>
      <c r="AA984" s="193"/>
      <c r="AB984" s="193"/>
      <c r="AC984" s="193"/>
      <c r="AD984" s="193"/>
    </row>
    <row r="985" ht="18.75" customHeight="1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93"/>
      <c r="W985" s="193"/>
      <c r="X985" s="193"/>
      <c r="Y985" s="193"/>
      <c r="Z985" s="193"/>
      <c r="AA985" s="193"/>
      <c r="AB985" s="193"/>
      <c r="AC985" s="193"/>
      <c r="AD985" s="193"/>
    </row>
    <row r="986" ht="18.75" customHeight="1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93"/>
      <c r="W986" s="193"/>
      <c r="X986" s="193"/>
      <c r="Y986" s="193"/>
      <c r="Z986" s="193"/>
      <c r="AA986" s="193"/>
      <c r="AB986" s="193"/>
      <c r="AC986" s="193"/>
      <c r="AD986" s="193"/>
    </row>
    <row r="987" ht="18.75" customHeight="1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93"/>
      <c r="W987" s="193"/>
      <c r="X987" s="193"/>
      <c r="Y987" s="193"/>
      <c r="Z987" s="193"/>
      <c r="AA987" s="193"/>
      <c r="AB987" s="193"/>
      <c r="AC987" s="193"/>
      <c r="AD987" s="193"/>
    </row>
    <row r="988" ht="18.75" customHeight="1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93"/>
      <c r="W988" s="193"/>
      <c r="X988" s="193"/>
      <c r="Y988" s="193"/>
      <c r="Z988" s="193"/>
      <c r="AA988" s="193"/>
      <c r="AB988" s="193"/>
      <c r="AC988" s="193"/>
      <c r="AD988" s="193"/>
    </row>
    <row r="989" ht="18.75" customHeight="1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93"/>
      <c r="W989" s="193"/>
      <c r="X989" s="193"/>
      <c r="Y989" s="193"/>
      <c r="Z989" s="193"/>
      <c r="AA989" s="193"/>
      <c r="AB989" s="193"/>
      <c r="AC989" s="193"/>
      <c r="AD989" s="193"/>
    </row>
    <row r="990" ht="18.75" customHeight="1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93"/>
      <c r="W990" s="193"/>
      <c r="X990" s="193"/>
      <c r="Y990" s="193"/>
      <c r="Z990" s="193"/>
      <c r="AA990" s="193"/>
      <c r="AB990" s="193"/>
      <c r="AC990" s="193"/>
      <c r="AD990" s="193"/>
    </row>
    <row r="991" ht="18.75" customHeight="1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93"/>
      <c r="W991" s="193"/>
      <c r="X991" s="193"/>
      <c r="Y991" s="193"/>
      <c r="Z991" s="193"/>
      <c r="AA991" s="193"/>
      <c r="AB991" s="193"/>
      <c r="AC991" s="193"/>
      <c r="AD991" s="193"/>
    </row>
    <row r="992" ht="18.75" customHeight="1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93"/>
      <c r="W992" s="193"/>
      <c r="X992" s="193"/>
      <c r="Y992" s="193"/>
      <c r="Z992" s="193"/>
      <c r="AA992" s="193"/>
      <c r="AB992" s="193"/>
      <c r="AC992" s="193"/>
      <c r="AD992" s="193"/>
    </row>
    <row r="993" ht="18.75" customHeight="1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93"/>
      <c r="W993" s="193"/>
      <c r="X993" s="193"/>
      <c r="Y993" s="193"/>
      <c r="Z993" s="193"/>
      <c r="AA993" s="193"/>
      <c r="AB993" s="193"/>
      <c r="AC993" s="193"/>
      <c r="AD993" s="193"/>
    </row>
    <row r="994" ht="18.75" customHeight="1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93"/>
      <c r="W994" s="193"/>
      <c r="X994" s="193"/>
      <c r="Y994" s="193"/>
      <c r="Z994" s="193"/>
      <c r="AA994" s="193"/>
      <c r="AB994" s="193"/>
      <c r="AC994" s="193"/>
      <c r="AD994" s="193"/>
    </row>
    <row r="995" ht="18.75" customHeight="1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93"/>
      <c r="W995" s="193"/>
      <c r="X995" s="193"/>
      <c r="Y995" s="193"/>
      <c r="Z995" s="193"/>
      <c r="AA995" s="193"/>
      <c r="AB995" s="193"/>
      <c r="AC995" s="193"/>
      <c r="AD995" s="193"/>
    </row>
    <row r="996" ht="18.75" customHeight="1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3"/>
      <c r="V996" s="193"/>
      <c r="W996" s="193"/>
      <c r="X996" s="193"/>
      <c r="Y996" s="193"/>
      <c r="Z996" s="193"/>
      <c r="AA996" s="193"/>
      <c r="AB996" s="193"/>
      <c r="AC996" s="193"/>
      <c r="AD996" s="193"/>
    </row>
    <row r="997" ht="18.75" customHeight="1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3"/>
      <c r="V997" s="193"/>
      <c r="W997" s="193"/>
      <c r="X997" s="193"/>
      <c r="Y997" s="193"/>
      <c r="Z997" s="193"/>
      <c r="AA997" s="193"/>
      <c r="AB997" s="193"/>
      <c r="AC997" s="193"/>
      <c r="AD997" s="193"/>
    </row>
    <row r="998" ht="18.75" customHeight="1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3"/>
      <c r="V998" s="193"/>
      <c r="W998" s="193"/>
      <c r="X998" s="193"/>
      <c r="Y998" s="193"/>
      <c r="Z998" s="193"/>
      <c r="AA998" s="193"/>
      <c r="AB998" s="193"/>
      <c r="AC998" s="193"/>
      <c r="AD998" s="193"/>
    </row>
    <row r="999" ht="18.75" customHeight="1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3"/>
      <c r="V999" s="193"/>
      <c r="W999" s="193"/>
      <c r="X999" s="193"/>
      <c r="Y999" s="193"/>
      <c r="Z999" s="193"/>
      <c r="AA999" s="193"/>
      <c r="AB999" s="193"/>
      <c r="AC999" s="193"/>
      <c r="AD999" s="193"/>
    </row>
    <row r="1000" ht="18.75" customHeight="1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3"/>
      <c r="V1000" s="193"/>
      <c r="W1000" s="193"/>
      <c r="X1000" s="193"/>
      <c r="Y1000" s="193"/>
      <c r="Z1000" s="193"/>
      <c r="AA1000" s="193"/>
      <c r="AB1000" s="193"/>
      <c r="AC1000" s="193"/>
      <c r="AD1000" s="193"/>
    </row>
  </sheetData>
  <mergeCells count="27">
    <mergeCell ref="N7:O10"/>
    <mergeCell ref="R10:T12"/>
    <mergeCell ref="A1:AA6"/>
    <mergeCell ref="A7:B12"/>
    <mergeCell ref="C7:D12"/>
    <mergeCell ref="F7:G12"/>
    <mergeCell ref="H7:I14"/>
    <mergeCell ref="J7:M10"/>
    <mergeCell ref="Y9:AA9"/>
    <mergeCell ref="R7:T9"/>
    <mergeCell ref="U7:X7"/>
    <mergeCell ref="U8:X8"/>
    <mergeCell ref="U9:X9"/>
    <mergeCell ref="Y7:AA7"/>
    <mergeCell ref="Y8:AA8"/>
    <mergeCell ref="U10:X10"/>
    <mergeCell ref="Y10:AA10"/>
    <mergeCell ref="J11:M14"/>
    <mergeCell ref="N11:O14"/>
    <mergeCell ref="U11:X11"/>
    <mergeCell ref="Y11:AA11"/>
    <mergeCell ref="U12:X12"/>
    <mergeCell ref="Y12:AA12"/>
    <mergeCell ref="A17:B17"/>
    <mergeCell ref="A18:AA18"/>
    <mergeCell ref="A19:B24"/>
    <mergeCell ref="A25:B30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23.75"/>
    <col customWidth="1" min="3" max="3" width="17.0"/>
    <col customWidth="1" min="4" max="6" width="10.13"/>
    <col customWidth="1" min="7" max="7" width="11.0"/>
    <col customWidth="1" min="8" max="10" width="10.13"/>
    <col customWidth="1" min="11" max="11" width="11.0"/>
    <col customWidth="1" min="12" max="14" width="10.13"/>
    <col customWidth="1" min="15" max="15" width="11.0"/>
    <col customWidth="1" min="16" max="18" width="10.13"/>
    <col customWidth="1" min="19" max="19" width="9.75"/>
    <col customWidth="1" min="20" max="22" width="11.5"/>
    <col customWidth="1" min="23" max="23" width="12.38"/>
    <col customWidth="1" min="24" max="26" width="11.5"/>
    <col customWidth="1" min="27" max="27" width="12.38"/>
    <col customWidth="1" min="29" max="29" width="9.0"/>
    <col customWidth="1" min="30" max="30" width="1.13"/>
  </cols>
  <sheetData>
    <row r="1" ht="15.0" customHeight="1">
      <c r="A1" s="1" t="s">
        <v>0</v>
      </c>
      <c r="AB1" s="2"/>
      <c r="AC1" s="2"/>
      <c r="AD1" s="2"/>
    </row>
    <row r="2" ht="15.0" customHeight="1">
      <c r="AB2" s="2"/>
      <c r="AC2" s="2"/>
      <c r="AD2" s="2"/>
    </row>
    <row r="3" ht="15.0" customHeight="1">
      <c r="AB3" s="2"/>
      <c r="AC3" s="2"/>
      <c r="AD3" s="2"/>
    </row>
    <row r="4" ht="15.0" customHeight="1">
      <c r="AB4" s="2"/>
      <c r="AC4" s="2"/>
      <c r="AD4" s="2"/>
    </row>
    <row r="5" ht="15.0" customHeight="1">
      <c r="AB5" s="2"/>
      <c r="AC5" s="2"/>
      <c r="AD5" s="2"/>
    </row>
    <row r="6" ht="15.0" customHeight="1">
      <c r="AB6" s="2"/>
      <c r="AC6" s="2"/>
      <c r="AD6" s="2"/>
    </row>
    <row r="7" ht="18.75" customHeight="1">
      <c r="A7" s="86" t="s">
        <v>1</v>
      </c>
      <c r="B7" s="4"/>
      <c r="C7" s="5" t="s">
        <v>2</v>
      </c>
      <c r="D7" s="6"/>
      <c r="E7" s="126"/>
      <c r="F7" s="8" t="s">
        <v>3</v>
      </c>
      <c r="G7" s="4"/>
      <c r="H7" s="9" t="s">
        <v>65</v>
      </c>
      <c r="I7" s="10"/>
      <c r="J7" s="194" t="str">
        <f>B17</f>
        <v>JUNIOR ESL 
Primary (7~11yrs.)
Teen (12~17yrs.)</v>
      </c>
      <c r="K7" s="37"/>
      <c r="L7" s="37"/>
      <c r="M7" s="37"/>
      <c r="N7" s="195"/>
      <c r="O7" s="196"/>
      <c r="P7" s="126"/>
      <c r="Q7" s="7"/>
      <c r="R7" s="17" t="s">
        <v>66</v>
      </c>
      <c r="S7" s="18"/>
      <c r="T7" s="4"/>
      <c r="U7" s="19" t="s">
        <v>5</v>
      </c>
      <c r="V7" s="20"/>
      <c r="W7" s="20"/>
      <c r="X7" s="21"/>
      <c r="Y7" s="22">
        <v>1400.0</v>
      </c>
      <c r="Z7" s="20"/>
      <c r="AA7" s="20"/>
      <c r="AB7" s="23"/>
      <c r="AC7" s="2"/>
      <c r="AD7" s="2"/>
    </row>
    <row r="8" ht="15.75" customHeight="1">
      <c r="A8" s="24"/>
      <c r="B8" s="6"/>
      <c r="C8" s="25"/>
      <c r="D8" s="6"/>
      <c r="E8" s="26"/>
      <c r="F8" s="25"/>
      <c r="G8" s="6"/>
      <c r="H8" s="25"/>
      <c r="I8" s="6"/>
      <c r="J8" s="24"/>
      <c r="N8" s="197">
        <v>1340.0</v>
      </c>
      <c r="O8" s="198"/>
      <c r="P8" s="44"/>
      <c r="Q8" s="26"/>
      <c r="R8" s="25"/>
      <c r="T8" s="6"/>
      <c r="U8" s="32" t="s">
        <v>6</v>
      </c>
      <c r="V8" s="33"/>
      <c r="W8" s="33"/>
      <c r="X8" s="34"/>
      <c r="Y8" s="35">
        <v>970.0</v>
      </c>
      <c r="Z8" s="33"/>
      <c r="AA8" s="33"/>
      <c r="AB8" s="23"/>
      <c r="AC8" s="2"/>
      <c r="AD8" s="2"/>
    </row>
    <row r="9" ht="15.75" customHeight="1">
      <c r="A9" s="24"/>
      <c r="B9" s="6"/>
      <c r="C9" s="25"/>
      <c r="D9" s="6"/>
      <c r="E9" s="26"/>
      <c r="F9" s="25"/>
      <c r="G9" s="6"/>
      <c r="H9" s="25"/>
      <c r="I9" s="6"/>
      <c r="J9" s="27"/>
      <c r="K9" s="28"/>
      <c r="L9" s="28"/>
      <c r="M9" s="28"/>
      <c r="N9" s="199"/>
      <c r="O9" s="200"/>
      <c r="P9" s="44"/>
      <c r="Q9" s="26"/>
      <c r="R9" s="41"/>
      <c r="S9" s="28"/>
      <c r="T9" s="29"/>
      <c r="U9" s="32" t="s">
        <v>7</v>
      </c>
      <c r="V9" s="33"/>
      <c r="W9" s="33"/>
      <c r="X9" s="34"/>
      <c r="Y9" s="42">
        <v>810.0</v>
      </c>
      <c r="Z9" s="33"/>
      <c r="AA9" s="33"/>
      <c r="AB9" s="23"/>
      <c r="AC9" s="2"/>
      <c r="AD9" s="2"/>
    </row>
    <row r="10" ht="15.75" customHeight="1">
      <c r="A10" s="24"/>
      <c r="B10" s="6"/>
      <c r="C10" s="25"/>
      <c r="D10" s="6"/>
      <c r="E10" s="26"/>
      <c r="F10" s="25"/>
      <c r="G10" s="6"/>
      <c r="H10" s="25"/>
      <c r="I10" s="6"/>
      <c r="J10" s="36" t="str">
        <f>B21</f>
        <v>JUNIOR IELTS (12~17yrs.)</v>
      </c>
      <c r="K10" s="37"/>
      <c r="L10" s="37"/>
      <c r="M10" s="37"/>
      <c r="N10" s="201">
        <v>1490.0</v>
      </c>
      <c r="O10" s="6"/>
      <c r="P10" s="26"/>
      <c r="Q10" s="26"/>
      <c r="R10" s="45" t="s">
        <v>8</v>
      </c>
      <c r="S10" s="37"/>
      <c r="T10" s="10"/>
      <c r="U10" s="46" t="s">
        <v>9</v>
      </c>
      <c r="V10" s="33"/>
      <c r="W10" s="33"/>
      <c r="X10" s="34"/>
      <c r="Y10" s="47">
        <v>1690.0</v>
      </c>
      <c r="Z10" s="33"/>
      <c r="AA10" s="33"/>
      <c r="AB10" s="23"/>
      <c r="AC10" s="2"/>
      <c r="AD10" s="2"/>
    </row>
    <row r="11" ht="15.75" customHeight="1">
      <c r="A11" s="24"/>
      <c r="B11" s="6"/>
      <c r="C11" s="25"/>
      <c r="D11" s="6"/>
      <c r="E11" s="48"/>
      <c r="F11" s="25"/>
      <c r="G11" s="6"/>
      <c r="H11" s="25"/>
      <c r="I11" s="6"/>
      <c r="J11" s="24"/>
      <c r="N11" s="25"/>
      <c r="O11" s="6"/>
      <c r="P11" s="26"/>
      <c r="Q11" s="26"/>
      <c r="R11" s="25"/>
      <c r="T11" s="6"/>
      <c r="U11" s="46" t="s">
        <v>10</v>
      </c>
      <c r="V11" s="33"/>
      <c r="W11" s="33"/>
      <c r="X11" s="34"/>
      <c r="Y11" s="51">
        <v>1100.0</v>
      </c>
      <c r="Z11" s="33"/>
      <c r="AA11" s="33"/>
      <c r="AB11" s="23"/>
      <c r="AC11" s="2"/>
      <c r="AD11" s="2"/>
    </row>
    <row r="12" ht="20.25" customHeight="1">
      <c r="A12" s="27"/>
      <c r="B12" s="29"/>
      <c r="C12" s="41"/>
      <c r="D12" s="29"/>
      <c r="E12" s="48"/>
      <c r="F12" s="41"/>
      <c r="G12" s="29"/>
      <c r="H12" s="41"/>
      <c r="I12" s="29"/>
      <c r="J12" s="27"/>
      <c r="K12" s="28"/>
      <c r="L12" s="28"/>
      <c r="M12" s="28"/>
      <c r="N12" s="41"/>
      <c r="O12" s="29"/>
      <c r="P12" s="26"/>
      <c r="Q12" s="26"/>
      <c r="R12" s="41"/>
      <c r="S12" s="28"/>
      <c r="T12" s="29"/>
      <c r="U12" s="46" t="s">
        <v>11</v>
      </c>
      <c r="V12" s="33"/>
      <c r="W12" s="33"/>
      <c r="X12" s="34"/>
      <c r="Y12" s="47">
        <v>890.0</v>
      </c>
      <c r="Z12" s="33"/>
      <c r="AA12" s="33"/>
      <c r="AB12" s="23"/>
      <c r="AC12" s="2"/>
      <c r="AD12" s="2"/>
    </row>
    <row r="13" ht="15.0" customHeight="1">
      <c r="A13" s="44"/>
      <c r="B13" s="26"/>
      <c r="C13" s="26"/>
      <c r="D13" s="26"/>
      <c r="E13" s="26"/>
      <c r="F13" s="26"/>
      <c r="G13" s="26"/>
      <c r="H13" s="7"/>
      <c r="I13" s="7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56"/>
      <c r="AB13" s="2"/>
      <c r="AC13" s="2"/>
      <c r="AD13" s="2"/>
    </row>
    <row r="14" ht="17.25" customHeight="1">
      <c r="A14" s="44"/>
      <c r="B14" s="26"/>
      <c r="C14" s="26"/>
      <c r="D14" s="57">
        <v>0.45</v>
      </c>
      <c r="E14" s="57">
        <v>0.65</v>
      </c>
      <c r="F14" s="57">
        <v>0.85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56"/>
      <c r="AB14" s="2"/>
      <c r="AC14" s="2"/>
      <c r="AD14" s="2"/>
    </row>
    <row r="15" ht="21.0" customHeight="1">
      <c r="A15" s="102" t="s">
        <v>12</v>
      </c>
      <c r="B15" s="34"/>
      <c r="C15" s="103" t="s">
        <v>13</v>
      </c>
      <c r="D15" s="103" t="s">
        <v>14</v>
      </c>
      <c r="E15" s="103" t="s">
        <v>15</v>
      </c>
      <c r="F15" s="103" t="s">
        <v>16</v>
      </c>
      <c r="G15" s="103" t="s">
        <v>17</v>
      </c>
      <c r="H15" s="103" t="s">
        <v>18</v>
      </c>
      <c r="I15" s="103" t="s">
        <v>19</v>
      </c>
      <c r="J15" s="103" t="s">
        <v>20</v>
      </c>
      <c r="K15" s="103" t="s">
        <v>21</v>
      </c>
      <c r="L15" s="103" t="s">
        <v>22</v>
      </c>
      <c r="M15" s="103" t="s">
        <v>23</v>
      </c>
      <c r="N15" s="103" t="s">
        <v>24</v>
      </c>
      <c r="O15" s="103" t="s">
        <v>25</v>
      </c>
      <c r="P15" s="103" t="s">
        <v>26</v>
      </c>
      <c r="Q15" s="103" t="s">
        <v>27</v>
      </c>
      <c r="R15" s="103" t="s">
        <v>28</v>
      </c>
      <c r="S15" s="103" t="s">
        <v>29</v>
      </c>
      <c r="T15" s="103" t="s">
        <v>30</v>
      </c>
      <c r="U15" s="103" t="s">
        <v>31</v>
      </c>
      <c r="V15" s="103" t="s">
        <v>32</v>
      </c>
      <c r="W15" s="103" t="s">
        <v>33</v>
      </c>
      <c r="X15" s="103" t="s">
        <v>34</v>
      </c>
      <c r="Y15" s="103" t="s">
        <v>35</v>
      </c>
      <c r="Z15" s="103" t="s">
        <v>36</v>
      </c>
      <c r="AA15" s="104" t="s">
        <v>37</v>
      </c>
      <c r="AB15" s="63"/>
      <c r="AC15" s="63"/>
      <c r="AD15" s="63"/>
    </row>
    <row r="16" ht="4.5" customHeight="1">
      <c r="A16" s="64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2"/>
      <c r="AC16" s="2"/>
      <c r="AD16" s="2"/>
    </row>
    <row r="17" ht="21.75" customHeight="1">
      <c r="A17" s="202" t="s">
        <v>65</v>
      </c>
      <c r="B17" s="203" t="s">
        <v>67</v>
      </c>
      <c r="C17" s="204" t="s">
        <v>40</v>
      </c>
      <c r="D17" s="205">
        <f>G17*D14</f>
        <v>1039.5</v>
      </c>
      <c r="E17" s="205">
        <f>G17*E14</f>
        <v>1501.5</v>
      </c>
      <c r="F17" s="205">
        <f>G17*F14</f>
        <v>1963.5</v>
      </c>
      <c r="G17" s="206">
        <f>N8+Y8</f>
        <v>2310</v>
      </c>
      <c r="H17" s="205">
        <f t="shared" ref="H17:H24" si="1">G17+(G17*0.25)</f>
        <v>2887.5</v>
      </c>
      <c r="I17" s="205">
        <f t="shared" ref="I17:I24" si="2">G17+(G17*0.5)</f>
        <v>3465</v>
      </c>
      <c r="J17" s="205">
        <f t="shared" ref="J17:J24" si="3">G17+(G17*0.75)</f>
        <v>4042.5</v>
      </c>
      <c r="K17" s="206">
        <f t="shared" ref="K17:K24" si="4">G17*2</f>
        <v>4620</v>
      </c>
      <c r="L17" s="205">
        <f t="shared" ref="L17:L24" si="5">K17+(G17*0.25)</f>
        <v>5197.5</v>
      </c>
      <c r="M17" s="205">
        <f t="shared" ref="M17:M24" si="6">K17+(G17*0.5)</f>
        <v>5775</v>
      </c>
      <c r="N17" s="205">
        <f t="shared" ref="N17:N24" si="7">K17+(G17*0.75)</f>
        <v>6352.5</v>
      </c>
      <c r="O17" s="206">
        <f t="shared" ref="O17:O24" si="8">G17*3</f>
        <v>6930</v>
      </c>
      <c r="P17" s="205">
        <f t="shared" ref="P17:P24" si="9">O17+(G17*0.25)</f>
        <v>7507.5</v>
      </c>
      <c r="Q17" s="205">
        <f t="shared" ref="Q17:Q24" si="10">O17+(G17*0.5)</f>
        <v>8085</v>
      </c>
      <c r="R17" s="205">
        <f t="shared" ref="R17:R24" si="11">O17+(G17*0.75)</f>
        <v>8662.5</v>
      </c>
      <c r="S17" s="206">
        <f t="shared" ref="S17:S24" si="12">G17*4</f>
        <v>9240</v>
      </c>
      <c r="T17" s="205">
        <f t="shared" ref="T17:T24" si="13">S17+(G17*0.25)</f>
        <v>9817.5</v>
      </c>
      <c r="U17" s="205">
        <f t="shared" ref="U17:U24" si="14">S17+(G17*0.5)</f>
        <v>10395</v>
      </c>
      <c r="V17" s="205">
        <f t="shared" ref="V17:V24" si="15">S17+(G17*0.75)</f>
        <v>10972.5</v>
      </c>
      <c r="W17" s="206">
        <f t="shared" ref="W17:W24" si="16">G17*5</f>
        <v>11550</v>
      </c>
      <c r="X17" s="205">
        <f t="shared" ref="X17:X24" si="17">W17+(G17*0.25)</f>
        <v>12127.5</v>
      </c>
      <c r="Y17" s="205">
        <f t="shared" ref="Y17:Y24" si="18">W17+(G17*0.5)</f>
        <v>12705</v>
      </c>
      <c r="Z17" s="205">
        <f t="shared" ref="Z17:Z24" si="19">W17+(G17*0.75)</f>
        <v>13282.5</v>
      </c>
      <c r="AA17" s="206">
        <f t="shared" ref="AA17:AA24" si="20">G17*6</f>
        <v>13860</v>
      </c>
      <c r="AB17" s="207"/>
      <c r="AC17" s="207"/>
      <c r="AD17" s="208"/>
    </row>
    <row r="18" ht="21.75" customHeight="1">
      <c r="A18" s="114"/>
      <c r="B18" s="75"/>
      <c r="C18" s="209" t="s">
        <v>7</v>
      </c>
      <c r="D18" s="210">
        <f>G18*D14</f>
        <v>967.5</v>
      </c>
      <c r="E18" s="210">
        <f>G18*E14</f>
        <v>1397.5</v>
      </c>
      <c r="F18" s="210">
        <f>G18*F14</f>
        <v>1827.5</v>
      </c>
      <c r="G18" s="211">
        <f>N8+Y9</f>
        <v>2150</v>
      </c>
      <c r="H18" s="210">
        <f t="shared" si="1"/>
        <v>2687.5</v>
      </c>
      <c r="I18" s="210">
        <f t="shared" si="2"/>
        <v>3225</v>
      </c>
      <c r="J18" s="210">
        <f t="shared" si="3"/>
        <v>3762.5</v>
      </c>
      <c r="K18" s="211">
        <f t="shared" si="4"/>
        <v>4300</v>
      </c>
      <c r="L18" s="210">
        <f t="shared" si="5"/>
        <v>4837.5</v>
      </c>
      <c r="M18" s="210">
        <f t="shared" si="6"/>
        <v>5375</v>
      </c>
      <c r="N18" s="210">
        <f t="shared" si="7"/>
        <v>5912.5</v>
      </c>
      <c r="O18" s="211">
        <f t="shared" si="8"/>
        <v>6450</v>
      </c>
      <c r="P18" s="210">
        <f t="shared" si="9"/>
        <v>6987.5</v>
      </c>
      <c r="Q18" s="210">
        <f t="shared" si="10"/>
        <v>7525</v>
      </c>
      <c r="R18" s="210">
        <f t="shared" si="11"/>
        <v>8062.5</v>
      </c>
      <c r="S18" s="211">
        <f t="shared" si="12"/>
        <v>8600</v>
      </c>
      <c r="T18" s="210">
        <f t="shared" si="13"/>
        <v>9137.5</v>
      </c>
      <c r="U18" s="210">
        <f t="shared" si="14"/>
        <v>9675</v>
      </c>
      <c r="V18" s="210">
        <f t="shared" si="15"/>
        <v>10212.5</v>
      </c>
      <c r="W18" s="211">
        <f t="shared" si="16"/>
        <v>10750</v>
      </c>
      <c r="X18" s="210">
        <f t="shared" si="17"/>
        <v>11287.5</v>
      </c>
      <c r="Y18" s="210">
        <f t="shared" si="18"/>
        <v>11825</v>
      </c>
      <c r="Z18" s="210">
        <f t="shared" si="19"/>
        <v>12362.5</v>
      </c>
      <c r="AA18" s="211">
        <f t="shared" si="20"/>
        <v>12900</v>
      </c>
      <c r="AB18" s="207"/>
      <c r="AC18" s="207"/>
      <c r="AD18" s="208"/>
    </row>
    <row r="19" ht="21.75" customHeight="1">
      <c r="A19" s="114"/>
      <c r="B19" s="75"/>
      <c r="C19" s="204" t="s">
        <v>41</v>
      </c>
      <c r="D19" s="205">
        <f>G19*D14</f>
        <v>1098</v>
      </c>
      <c r="E19" s="205">
        <f>G19*E14</f>
        <v>1586</v>
      </c>
      <c r="F19" s="205">
        <f>G19*F14</f>
        <v>2074</v>
      </c>
      <c r="G19" s="206">
        <f>N8+Y11</f>
        <v>2440</v>
      </c>
      <c r="H19" s="205">
        <f t="shared" si="1"/>
        <v>3050</v>
      </c>
      <c r="I19" s="205">
        <f t="shared" si="2"/>
        <v>3660</v>
      </c>
      <c r="J19" s="205">
        <f t="shared" si="3"/>
        <v>4270</v>
      </c>
      <c r="K19" s="206">
        <f t="shared" si="4"/>
        <v>4880</v>
      </c>
      <c r="L19" s="205">
        <f t="shared" si="5"/>
        <v>5490</v>
      </c>
      <c r="M19" s="205">
        <f t="shared" si="6"/>
        <v>6100</v>
      </c>
      <c r="N19" s="205">
        <f t="shared" si="7"/>
        <v>6710</v>
      </c>
      <c r="O19" s="206">
        <f t="shared" si="8"/>
        <v>7320</v>
      </c>
      <c r="P19" s="205">
        <f t="shared" si="9"/>
        <v>7930</v>
      </c>
      <c r="Q19" s="205">
        <f t="shared" si="10"/>
        <v>8540</v>
      </c>
      <c r="R19" s="205">
        <f t="shared" si="11"/>
        <v>9150</v>
      </c>
      <c r="S19" s="206">
        <f t="shared" si="12"/>
        <v>9760</v>
      </c>
      <c r="T19" s="205">
        <f t="shared" si="13"/>
        <v>10370</v>
      </c>
      <c r="U19" s="205">
        <f t="shared" si="14"/>
        <v>10980</v>
      </c>
      <c r="V19" s="205">
        <f t="shared" si="15"/>
        <v>11590</v>
      </c>
      <c r="W19" s="206">
        <f t="shared" si="16"/>
        <v>12200</v>
      </c>
      <c r="X19" s="205">
        <f t="shared" si="17"/>
        <v>12810</v>
      </c>
      <c r="Y19" s="205">
        <f t="shared" si="18"/>
        <v>13420</v>
      </c>
      <c r="Z19" s="205">
        <f t="shared" si="19"/>
        <v>14030</v>
      </c>
      <c r="AA19" s="206">
        <f t="shared" si="20"/>
        <v>14640</v>
      </c>
      <c r="AB19" s="207"/>
      <c r="AC19" s="207"/>
      <c r="AD19" s="208"/>
    </row>
    <row r="20" ht="21.75" customHeight="1">
      <c r="A20" s="114"/>
      <c r="B20" s="84"/>
      <c r="C20" s="209" t="s">
        <v>11</v>
      </c>
      <c r="D20" s="210">
        <f>G20*D14</f>
        <v>1003.5</v>
      </c>
      <c r="E20" s="210">
        <f>G20*E14</f>
        <v>1449.5</v>
      </c>
      <c r="F20" s="210">
        <f>G20*F14</f>
        <v>1895.5</v>
      </c>
      <c r="G20" s="211">
        <f>N8+Y12</f>
        <v>2230</v>
      </c>
      <c r="H20" s="210">
        <f t="shared" si="1"/>
        <v>2787.5</v>
      </c>
      <c r="I20" s="210">
        <f t="shared" si="2"/>
        <v>3345</v>
      </c>
      <c r="J20" s="210">
        <f t="shared" si="3"/>
        <v>3902.5</v>
      </c>
      <c r="K20" s="211">
        <f t="shared" si="4"/>
        <v>4460</v>
      </c>
      <c r="L20" s="210">
        <f t="shared" si="5"/>
        <v>5017.5</v>
      </c>
      <c r="M20" s="210">
        <f t="shared" si="6"/>
        <v>5575</v>
      </c>
      <c r="N20" s="210">
        <f t="shared" si="7"/>
        <v>6132.5</v>
      </c>
      <c r="O20" s="211">
        <f t="shared" si="8"/>
        <v>6690</v>
      </c>
      <c r="P20" s="210">
        <f t="shared" si="9"/>
        <v>7247.5</v>
      </c>
      <c r="Q20" s="210">
        <f t="shared" si="10"/>
        <v>7805</v>
      </c>
      <c r="R20" s="210">
        <f t="shared" si="11"/>
        <v>8362.5</v>
      </c>
      <c r="S20" s="211">
        <f t="shared" si="12"/>
        <v>8920</v>
      </c>
      <c r="T20" s="210">
        <f t="shared" si="13"/>
        <v>9477.5</v>
      </c>
      <c r="U20" s="210">
        <f t="shared" si="14"/>
        <v>10035</v>
      </c>
      <c r="V20" s="210">
        <f t="shared" si="15"/>
        <v>10592.5</v>
      </c>
      <c r="W20" s="211">
        <f t="shared" si="16"/>
        <v>11150</v>
      </c>
      <c r="X20" s="210">
        <f t="shared" si="17"/>
        <v>11707.5</v>
      </c>
      <c r="Y20" s="210">
        <f t="shared" si="18"/>
        <v>12265</v>
      </c>
      <c r="Z20" s="210">
        <f t="shared" si="19"/>
        <v>12822.5</v>
      </c>
      <c r="AA20" s="211">
        <f t="shared" si="20"/>
        <v>13380</v>
      </c>
      <c r="AB20" s="207"/>
      <c r="AC20" s="207"/>
      <c r="AD20" s="208"/>
    </row>
    <row r="21" ht="21.75" customHeight="1">
      <c r="A21" s="114"/>
      <c r="B21" s="212" t="s">
        <v>68</v>
      </c>
      <c r="C21" s="204" t="s">
        <v>40</v>
      </c>
      <c r="D21" s="205">
        <f>G21*D14</f>
        <v>1107</v>
      </c>
      <c r="E21" s="205">
        <f>G21*E14</f>
        <v>1599</v>
      </c>
      <c r="F21" s="205">
        <f>G21*F14</f>
        <v>2091</v>
      </c>
      <c r="G21" s="206">
        <f>N10+Y8</f>
        <v>2460</v>
      </c>
      <c r="H21" s="205">
        <f t="shared" si="1"/>
        <v>3075</v>
      </c>
      <c r="I21" s="205">
        <f t="shared" si="2"/>
        <v>3690</v>
      </c>
      <c r="J21" s="205">
        <f t="shared" si="3"/>
        <v>4305</v>
      </c>
      <c r="K21" s="206">
        <f t="shared" si="4"/>
        <v>4920</v>
      </c>
      <c r="L21" s="205">
        <f t="shared" si="5"/>
        <v>5535</v>
      </c>
      <c r="M21" s="205">
        <f t="shared" si="6"/>
        <v>6150</v>
      </c>
      <c r="N21" s="205">
        <f t="shared" si="7"/>
        <v>6765</v>
      </c>
      <c r="O21" s="206">
        <f t="shared" si="8"/>
        <v>7380</v>
      </c>
      <c r="P21" s="205">
        <f t="shared" si="9"/>
        <v>7995</v>
      </c>
      <c r="Q21" s="205">
        <f t="shared" si="10"/>
        <v>8610</v>
      </c>
      <c r="R21" s="205">
        <f t="shared" si="11"/>
        <v>9225</v>
      </c>
      <c r="S21" s="206">
        <f t="shared" si="12"/>
        <v>9840</v>
      </c>
      <c r="T21" s="205">
        <f t="shared" si="13"/>
        <v>10455</v>
      </c>
      <c r="U21" s="205">
        <f t="shared" si="14"/>
        <v>11070</v>
      </c>
      <c r="V21" s="205">
        <f t="shared" si="15"/>
        <v>11685</v>
      </c>
      <c r="W21" s="206">
        <f t="shared" si="16"/>
        <v>12300</v>
      </c>
      <c r="X21" s="205">
        <f t="shared" si="17"/>
        <v>12915</v>
      </c>
      <c r="Y21" s="205">
        <f t="shared" si="18"/>
        <v>13530</v>
      </c>
      <c r="Z21" s="205">
        <f t="shared" si="19"/>
        <v>14145</v>
      </c>
      <c r="AA21" s="206">
        <f t="shared" si="20"/>
        <v>14760</v>
      </c>
      <c r="AB21" s="207"/>
      <c r="AC21" s="207"/>
      <c r="AD21" s="208"/>
    </row>
    <row r="22" ht="21.75" customHeight="1">
      <c r="A22" s="114"/>
      <c r="B22" s="75"/>
      <c r="C22" s="209" t="s">
        <v>7</v>
      </c>
      <c r="D22" s="210">
        <f>G22*D14</f>
        <v>1035</v>
      </c>
      <c r="E22" s="210">
        <f>G22*E14</f>
        <v>1495</v>
      </c>
      <c r="F22" s="210">
        <f>G22*F14</f>
        <v>1955</v>
      </c>
      <c r="G22" s="211">
        <f>N10+Y9</f>
        <v>2300</v>
      </c>
      <c r="H22" s="210">
        <f t="shared" si="1"/>
        <v>2875</v>
      </c>
      <c r="I22" s="210">
        <f t="shared" si="2"/>
        <v>3450</v>
      </c>
      <c r="J22" s="210">
        <f t="shared" si="3"/>
        <v>4025</v>
      </c>
      <c r="K22" s="211">
        <f t="shared" si="4"/>
        <v>4600</v>
      </c>
      <c r="L22" s="210">
        <f t="shared" si="5"/>
        <v>5175</v>
      </c>
      <c r="M22" s="210">
        <f t="shared" si="6"/>
        <v>5750</v>
      </c>
      <c r="N22" s="210">
        <f t="shared" si="7"/>
        <v>6325</v>
      </c>
      <c r="O22" s="211">
        <f t="shared" si="8"/>
        <v>6900</v>
      </c>
      <c r="P22" s="210">
        <f t="shared" si="9"/>
        <v>7475</v>
      </c>
      <c r="Q22" s="210">
        <f t="shared" si="10"/>
        <v>8050</v>
      </c>
      <c r="R22" s="210">
        <f t="shared" si="11"/>
        <v>8625</v>
      </c>
      <c r="S22" s="211">
        <f t="shared" si="12"/>
        <v>9200</v>
      </c>
      <c r="T22" s="210">
        <f t="shared" si="13"/>
        <v>9775</v>
      </c>
      <c r="U22" s="210">
        <f t="shared" si="14"/>
        <v>10350</v>
      </c>
      <c r="V22" s="210">
        <f t="shared" si="15"/>
        <v>10925</v>
      </c>
      <c r="W22" s="211">
        <f t="shared" si="16"/>
        <v>11500</v>
      </c>
      <c r="X22" s="210">
        <f t="shared" si="17"/>
        <v>12075</v>
      </c>
      <c r="Y22" s="210">
        <f t="shared" si="18"/>
        <v>12650</v>
      </c>
      <c r="Z22" s="210">
        <f t="shared" si="19"/>
        <v>13225</v>
      </c>
      <c r="AA22" s="211">
        <f t="shared" si="20"/>
        <v>13800</v>
      </c>
      <c r="AB22" s="207"/>
      <c r="AC22" s="207"/>
      <c r="AD22" s="208"/>
    </row>
    <row r="23" ht="21.75" customHeight="1">
      <c r="A23" s="114"/>
      <c r="B23" s="75"/>
      <c r="C23" s="204" t="s">
        <v>41</v>
      </c>
      <c r="D23" s="205">
        <f>G23*D14</f>
        <v>1165.5</v>
      </c>
      <c r="E23" s="205">
        <f>G23*E14</f>
        <v>1683.5</v>
      </c>
      <c r="F23" s="205">
        <f>G23*F14</f>
        <v>2201.5</v>
      </c>
      <c r="G23" s="206">
        <f>N10+Y11</f>
        <v>2590</v>
      </c>
      <c r="H23" s="205">
        <f t="shared" si="1"/>
        <v>3237.5</v>
      </c>
      <c r="I23" s="205">
        <f t="shared" si="2"/>
        <v>3885</v>
      </c>
      <c r="J23" s="205">
        <f t="shared" si="3"/>
        <v>4532.5</v>
      </c>
      <c r="K23" s="206">
        <f t="shared" si="4"/>
        <v>5180</v>
      </c>
      <c r="L23" s="205">
        <f t="shared" si="5"/>
        <v>5827.5</v>
      </c>
      <c r="M23" s="205">
        <f t="shared" si="6"/>
        <v>6475</v>
      </c>
      <c r="N23" s="205">
        <f t="shared" si="7"/>
        <v>7122.5</v>
      </c>
      <c r="O23" s="206">
        <f t="shared" si="8"/>
        <v>7770</v>
      </c>
      <c r="P23" s="205">
        <f t="shared" si="9"/>
        <v>8417.5</v>
      </c>
      <c r="Q23" s="205">
        <f t="shared" si="10"/>
        <v>9065</v>
      </c>
      <c r="R23" s="205">
        <f t="shared" si="11"/>
        <v>9712.5</v>
      </c>
      <c r="S23" s="206">
        <f t="shared" si="12"/>
        <v>10360</v>
      </c>
      <c r="T23" s="205">
        <f t="shared" si="13"/>
        <v>11007.5</v>
      </c>
      <c r="U23" s="205">
        <f t="shared" si="14"/>
        <v>11655</v>
      </c>
      <c r="V23" s="205">
        <f t="shared" si="15"/>
        <v>12302.5</v>
      </c>
      <c r="W23" s="206">
        <f t="shared" si="16"/>
        <v>12950</v>
      </c>
      <c r="X23" s="205">
        <f t="shared" si="17"/>
        <v>13597.5</v>
      </c>
      <c r="Y23" s="205">
        <f t="shared" si="18"/>
        <v>14245</v>
      </c>
      <c r="Z23" s="205">
        <f t="shared" si="19"/>
        <v>14892.5</v>
      </c>
      <c r="AA23" s="206">
        <f t="shared" si="20"/>
        <v>15540</v>
      </c>
      <c r="AB23" s="207"/>
      <c r="AC23" s="207"/>
      <c r="AD23" s="208"/>
    </row>
    <row r="24" ht="21.75" customHeight="1">
      <c r="A24" s="168"/>
      <c r="B24" s="84"/>
      <c r="C24" s="209" t="s">
        <v>11</v>
      </c>
      <c r="D24" s="210">
        <f>G24*D14</f>
        <v>1071</v>
      </c>
      <c r="E24" s="210">
        <f>G24*E14</f>
        <v>1547</v>
      </c>
      <c r="F24" s="210">
        <f>G24*F14</f>
        <v>2023</v>
      </c>
      <c r="G24" s="211">
        <f>N10+Y12</f>
        <v>2380</v>
      </c>
      <c r="H24" s="210">
        <f t="shared" si="1"/>
        <v>2975</v>
      </c>
      <c r="I24" s="210">
        <f t="shared" si="2"/>
        <v>3570</v>
      </c>
      <c r="J24" s="210">
        <f t="shared" si="3"/>
        <v>4165</v>
      </c>
      <c r="K24" s="211">
        <f t="shared" si="4"/>
        <v>4760</v>
      </c>
      <c r="L24" s="210">
        <f t="shared" si="5"/>
        <v>5355</v>
      </c>
      <c r="M24" s="210">
        <f t="shared" si="6"/>
        <v>5950</v>
      </c>
      <c r="N24" s="210">
        <f t="shared" si="7"/>
        <v>6545</v>
      </c>
      <c r="O24" s="211">
        <f t="shared" si="8"/>
        <v>7140</v>
      </c>
      <c r="P24" s="210">
        <f t="shared" si="9"/>
        <v>7735</v>
      </c>
      <c r="Q24" s="210">
        <f t="shared" si="10"/>
        <v>8330</v>
      </c>
      <c r="R24" s="210">
        <f t="shared" si="11"/>
        <v>8925</v>
      </c>
      <c r="S24" s="211">
        <f t="shared" si="12"/>
        <v>9520</v>
      </c>
      <c r="T24" s="210">
        <f t="shared" si="13"/>
        <v>10115</v>
      </c>
      <c r="U24" s="210">
        <f t="shared" si="14"/>
        <v>10710</v>
      </c>
      <c r="V24" s="210">
        <f t="shared" si="15"/>
        <v>11305</v>
      </c>
      <c r="W24" s="211">
        <f t="shared" si="16"/>
        <v>11900</v>
      </c>
      <c r="X24" s="210">
        <f t="shared" si="17"/>
        <v>12495</v>
      </c>
      <c r="Y24" s="210">
        <f t="shared" si="18"/>
        <v>13090</v>
      </c>
      <c r="Z24" s="210">
        <f t="shared" si="19"/>
        <v>13685</v>
      </c>
      <c r="AA24" s="211">
        <f t="shared" si="20"/>
        <v>14280</v>
      </c>
      <c r="AB24" s="207"/>
      <c r="AC24" s="207"/>
      <c r="AD24" s="208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5.0" customHeight="1">
      <c r="A26" s="2" t="s">
        <v>45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5.0" customHeight="1">
      <c r="A27" s="85" t="s">
        <v>52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29">
    <mergeCell ref="N7:O7"/>
    <mergeCell ref="U7:X7"/>
    <mergeCell ref="J7:M9"/>
    <mergeCell ref="N8:O9"/>
    <mergeCell ref="U8:X8"/>
    <mergeCell ref="Y8:AA8"/>
    <mergeCell ref="U9:X9"/>
    <mergeCell ref="Y9:AA9"/>
    <mergeCell ref="J10:M12"/>
    <mergeCell ref="N10:O12"/>
    <mergeCell ref="A15:B15"/>
    <mergeCell ref="A16:AA16"/>
    <mergeCell ref="A17:A24"/>
    <mergeCell ref="B17:B20"/>
    <mergeCell ref="B21:B24"/>
    <mergeCell ref="R10:T12"/>
    <mergeCell ref="U10:X10"/>
    <mergeCell ref="U11:X11"/>
    <mergeCell ref="U12:X12"/>
    <mergeCell ref="Y10:AA10"/>
    <mergeCell ref="Y11:AA11"/>
    <mergeCell ref="A1:AA6"/>
    <mergeCell ref="A7:B12"/>
    <mergeCell ref="C7:D12"/>
    <mergeCell ref="F7:G12"/>
    <mergeCell ref="H7:I12"/>
    <mergeCell ref="R7:T9"/>
    <mergeCell ref="Y7:AA7"/>
    <mergeCell ref="Y12:AA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20.0"/>
    <col customWidth="1" min="3" max="3" width="17.0"/>
    <col customWidth="1" min="4" max="4" width="8.63"/>
    <col customWidth="1" min="5" max="5" width="9.25"/>
    <col customWidth="1" min="6" max="6" width="8.63"/>
    <col customWidth="1" min="7" max="7" width="11.0"/>
    <col customWidth="1" min="8" max="9" width="10.13"/>
    <col customWidth="1" min="10" max="10" width="8.63"/>
    <col customWidth="1" min="11" max="11" width="11.0"/>
    <col customWidth="1" min="12" max="18" width="8.63"/>
    <col customWidth="1" min="19" max="19" width="9.75"/>
    <col customWidth="1" min="20" max="22" width="8.63"/>
    <col customWidth="1" min="23" max="23" width="9.5"/>
    <col customWidth="1" min="24" max="26" width="8.63"/>
    <col customWidth="1" min="27" max="27" width="9.75"/>
    <col customWidth="1" min="29" max="29" width="9.0"/>
    <col customWidth="1" min="30" max="30" width="1.13"/>
  </cols>
  <sheetData>
    <row r="1" ht="15.0" customHeight="1">
      <c r="A1" s="1" t="s">
        <v>69</v>
      </c>
      <c r="AB1" s="213"/>
      <c r="AC1" s="213"/>
      <c r="AD1" s="213"/>
    </row>
    <row r="2" ht="15.0" customHeight="1">
      <c r="AB2" s="213"/>
      <c r="AC2" s="213"/>
      <c r="AD2" s="213"/>
    </row>
    <row r="3" ht="15.0" customHeight="1">
      <c r="AB3" s="213"/>
      <c r="AC3" s="213"/>
      <c r="AD3" s="213"/>
    </row>
    <row r="4" ht="15.0" customHeight="1">
      <c r="AB4" s="213"/>
      <c r="AC4" s="213"/>
      <c r="AD4" s="213"/>
    </row>
    <row r="5" ht="15.0" customHeight="1">
      <c r="AB5" s="213"/>
      <c r="AC5" s="213"/>
      <c r="AD5" s="213"/>
    </row>
    <row r="6" ht="15.0" customHeight="1">
      <c r="AB6" s="213"/>
      <c r="AC6" s="213"/>
      <c r="AD6" s="213"/>
    </row>
    <row r="7" ht="15.75" customHeight="1">
      <c r="A7" s="214" t="s">
        <v>1</v>
      </c>
      <c r="B7" s="4"/>
      <c r="C7" s="5" t="s">
        <v>2</v>
      </c>
      <c r="D7" s="6"/>
      <c r="E7" s="215"/>
      <c r="F7" s="8" t="s">
        <v>3</v>
      </c>
      <c r="G7" s="18"/>
      <c r="H7" s="9" t="str">
        <f>A18</f>
        <v>PREMIUM</v>
      </c>
      <c r="I7" s="10"/>
      <c r="J7" s="216" t="str">
        <f>B18</f>
        <v>SPEAKING</v>
      </c>
      <c r="K7" s="217"/>
      <c r="L7" s="217"/>
      <c r="M7" s="196"/>
      <c r="N7" s="218">
        <v>1400.0</v>
      </c>
      <c r="O7" s="4"/>
      <c r="P7" s="215"/>
      <c r="Q7" s="215"/>
      <c r="R7" s="219" t="s">
        <v>4</v>
      </c>
      <c r="S7" s="18"/>
      <c r="T7" s="4"/>
      <c r="U7" s="220" t="s">
        <v>5</v>
      </c>
      <c r="V7" s="20"/>
      <c r="W7" s="20"/>
      <c r="X7" s="21"/>
      <c r="Y7" s="221">
        <v>1400.0</v>
      </c>
      <c r="Z7" s="20"/>
      <c r="AA7" s="20"/>
      <c r="AB7" s="222"/>
      <c r="AC7" s="213"/>
      <c r="AD7" s="213"/>
    </row>
    <row r="8" ht="15.75" customHeight="1">
      <c r="A8" s="24"/>
      <c r="B8" s="6"/>
      <c r="C8" s="25"/>
      <c r="D8" s="6"/>
      <c r="E8" s="223"/>
      <c r="F8" s="25"/>
      <c r="H8" s="25"/>
      <c r="I8" s="6"/>
      <c r="J8" s="224"/>
      <c r="M8" s="198"/>
      <c r="O8" s="6"/>
      <c r="P8" s="223"/>
      <c r="Q8" s="223"/>
      <c r="R8" s="25"/>
      <c r="T8" s="6"/>
      <c r="U8" s="225" t="s">
        <v>6</v>
      </c>
      <c r="V8" s="33"/>
      <c r="W8" s="33"/>
      <c r="X8" s="34"/>
      <c r="Y8" s="226">
        <v>970.0</v>
      </c>
      <c r="Z8" s="33"/>
      <c r="AA8" s="33"/>
      <c r="AB8" s="222"/>
      <c r="AC8" s="213"/>
      <c r="AD8" s="213"/>
    </row>
    <row r="9" ht="15.75" customHeight="1">
      <c r="A9" s="24"/>
      <c r="B9" s="6"/>
      <c r="C9" s="25"/>
      <c r="D9" s="6"/>
      <c r="E9" s="223"/>
      <c r="F9" s="25"/>
      <c r="H9" s="25"/>
      <c r="I9" s="6"/>
      <c r="J9" s="224"/>
      <c r="M9" s="198"/>
      <c r="O9" s="6"/>
      <c r="P9" s="227"/>
      <c r="Q9" s="228"/>
      <c r="R9" s="41"/>
      <c r="S9" s="28"/>
      <c r="T9" s="29"/>
      <c r="U9" s="225" t="s">
        <v>7</v>
      </c>
      <c r="V9" s="33"/>
      <c r="W9" s="33"/>
      <c r="X9" s="34"/>
      <c r="Y9" s="229">
        <v>810.0</v>
      </c>
      <c r="Z9" s="33"/>
      <c r="AA9" s="33"/>
      <c r="AB9" s="222"/>
      <c r="AC9" s="213"/>
      <c r="AD9" s="213"/>
    </row>
    <row r="10" ht="15.75" customHeight="1">
      <c r="A10" s="24"/>
      <c r="B10" s="6"/>
      <c r="C10" s="25"/>
      <c r="D10" s="6"/>
      <c r="E10" s="223"/>
      <c r="F10" s="25"/>
      <c r="H10" s="25"/>
      <c r="I10" s="6"/>
      <c r="J10" s="199"/>
      <c r="K10" s="230"/>
      <c r="L10" s="230"/>
      <c r="M10" s="200"/>
      <c r="O10" s="6"/>
      <c r="P10" s="231"/>
      <c r="Q10" s="223"/>
      <c r="R10" s="232" t="s">
        <v>8</v>
      </c>
      <c r="S10" s="37"/>
      <c r="T10" s="10"/>
      <c r="U10" s="233" t="s">
        <v>9</v>
      </c>
      <c r="V10" s="33"/>
      <c r="W10" s="33"/>
      <c r="X10" s="34"/>
      <c r="Y10" s="234">
        <v>1690.0</v>
      </c>
      <c r="Z10" s="33"/>
      <c r="AA10" s="33"/>
      <c r="AB10" s="222"/>
      <c r="AC10" s="213"/>
      <c r="AD10" s="213"/>
    </row>
    <row r="11" ht="15.75" customHeight="1">
      <c r="A11" s="24"/>
      <c r="B11" s="6"/>
      <c r="C11" s="25"/>
      <c r="D11" s="6"/>
      <c r="E11" s="235"/>
      <c r="F11" s="25"/>
      <c r="H11" s="25"/>
      <c r="I11" s="6"/>
      <c r="J11" s="236" t="str">
        <f>B24</f>
        <v>JUNIOR SPEAKING</v>
      </c>
      <c r="N11" s="237">
        <v>1400.0</v>
      </c>
      <c r="O11" s="10"/>
      <c r="P11" s="223"/>
      <c r="Q11" s="223"/>
      <c r="R11" s="25"/>
      <c r="T11" s="6"/>
      <c r="U11" s="233" t="s">
        <v>10</v>
      </c>
      <c r="V11" s="33"/>
      <c r="W11" s="33"/>
      <c r="X11" s="34"/>
      <c r="Y11" s="238">
        <v>1100.0</v>
      </c>
      <c r="Z11" s="33"/>
      <c r="AA11" s="33"/>
      <c r="AB11" s="222"/>
      <c r="AC11" s="213"/>
      <c r="AD11" s="213"/>
    </row>
    <row r="12" ht="15.75" customHeight="1">
      <c r="A12" s="27"/>
      <c r="B12" s="29"/>
      <c r="C12" s="41"/>
      <c r="D12" s="29"/>
      <c r="E12" s="235"/>
      <c r="F12" s="25"/>
      <c r="H12" s="25"/>
      <c r="I12" s="6"/>
      <c r="J12" s="24"/>
      <c r="N12" s="25"/>
      <c r="O12" s="6"/>
      <c r="P12" s="223"/>
      <c r="Q12" s="223"/>
      <c r="R12" s="41"/>
      <c r="S12" s="28"/>
      <c r="T12" s="29"/>
      <c r="U12" s="233" t="s">
        <v>11</v>
      </c>
      <c r="V12" s="33"/>
      <c r="W12" s="33"/>
      <c r="X12" s="34"/>
      <c r="Y12" s="234">
        <v>890.0</v>
      </c>
      <c r="Z12" s="33"/>
      <c r="AA12" s="33"/>
      <c r="AB12" s="222"/>
      <c r="AC12" s="213"/>
      <c r="AD12" s="213"/>
    </row>
    <row r="13" ht="25.5" customHeight="1">
      <c r="A13" s="239"/>
      <c r="B13" s="223"/>
      <c r="C13" s="223"/>
      <c r="D13" s="223"/>
      <c r="E13" s="223"/>
      <c r="F13" s="41"/>
      <c r="G13" s="28"/>
      <c r="H13" s="41"/>
      <c r="I13" s="29"/>
      <c r="J13" s="240"/>
      <c r="K13" s="241"/>
      <c r="L13" s="241"/>
      <c r="M13" s="241"/>
      <c r="N13" s="41"/>
      <c r="O13" s="29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42"/>
      <c r="AB13" s="213"/>
      <c r="AC13" s="213"/>
      <c r="AD13" s="213"/>
    </row>
    <row r="14" ht="15.0" customHeight="1">
      <c r="A14" s="239"/>
      <c r="B14" s="223"/>
      <c r="C14" s="223"/>
      <c r="D14" s="223"/>
      <c r="E14" s="223"/>
      <c r="F14" s="223"/>
      <c r="G14" s="223"/>
      <c r="H14" s="223"/>
      <c r="I14" s="223"/>
      <c r="J14" s="243"/>
      <c r="K14" s="244"/>
      <c r="L14" s="244"/>
      <c r="M14" s="245"/>
      <c r="N14" s="246"/>
      <c r="O14" s="245"/>
      <c r="P14" s="223"/>
      <c r="Q14" s="223"/>
      <c r="R14" s="223"/>
      <c r="S14" s="223"/>
      <c r="T14" s="223"/>
      <c r="U14" s="223"/>
      <c r="V14" s="223"/>
      <c r="W14" s="223"/>
      <c r="X14" s="223"/>
      <c r="Y14" s="223"/>
      <c r="Z14" s="223"/>
      <c r="AA14" s="242"/>
      <c r="AB14" s="213"/>
      <c r="AC14" s="213"/>
      <c r="AD14" s="213"/>
    </row>
    <row r="15" ht="16.5" customHeight="1">
      <c r="A15" s="239"/>
      <c r="B15" s="223"/>
      <c r="C15" s="223"/>
      <c r="D15" s="247">
        <v>0.45</v>
      </c>
      <c r="E15" s="247">
        <v>0.65</v>
      </c>
      <c r="F15" s="247">
        <v>0.85</v>
      </c>
      <c r="G15" s="223"/>
      <c r="H15" s="248"/>
      <c r="I15" s="249"/>
      <c r="J15" s="223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42"/>
      <c r="AB15" s="213"/>
      <c r="AC15" s="213"/>
      <c r="AD15" s="213"/>
    </row>
    <row r="16" ht="24.0" customHeight="1">
      <c r="A16" s="250" t="s">
        <v>12</v>
      </c>
      <c r="B16" s="34"/>
      <c r="C16" s="251" t="s">
        <v>13</v>
      </c>
      <c r="D16" s="251" t="s">
        <v>14</v>
      </c>
      <c r="E16" s="251" t="s">
        <v>15</v>
      </c>
      <c r="F16" s="251" t="s">
        <v>16</v>
      </c>
      <c r="G16" s="251" t="s">
        <v>17</v>
      </c>
      <c r="H16" s="251" t="s">
        <v>18</v>
      </c>
      <c r="I16" s="251" t="s">
        <v>19</v>
      </c>
      <c r="J16" s="251" t="s">
        <v>20</v>
      </c>
      <c r="K16" s="251" t="s">
        <v>21</v>
      </c>
      <c r="L16" s="251" t="s">
        <v>22</v>
      </c>
      <c r="M16" s="251" t="s">
        <v>23</v>
      </c>
      <c r="N16" s="251" t="s">
        <v>24</v>
      </c>
      <c r="O16" s="251" t="s">
        <v>25</v>
      </c>
      <c r="P16" s="251" t="s">
        <v>26</v>
      </c>
      <c r="Q16" s="251" t="s">
        <v>27</v>
      </c>
      <c r="R16" s="251" t="s">
        <v>28</v>
      </c>
      <c r="S16" s="251" t="s">
        <v>29</v>
      </c>
      <c r="T16" s="251" t="s">
        <v>30</v>
      </c>
      <c r="U16" s="251" t="s">
        <v>31</v>
      </c>
      <c r="V16" s="251" t="s">
        <v>32</v>
      </c>
      <c r="W16" s="251" t="s">
        <v>33</v>
      </c>
      <c r="X16" s="251" t="s">
        <v>34</v>
      </c>
      <c r="Y16" s="251" t="s">
        <v>35</v>
      </c>
      <c r="Z16" s="251" t="s">
        <v>36</v>
      </c>
      <c r="AA16" s="252" t="s">
        <v>37</v>
      </c>
      <c r="AB16" s="253"/>
      <c r="AC16" s="253"/>
      <c r="AD16" s="253"/>
    </row>
    <row r="17" ht="4.5" customHeight="1">
      <c r="A17" s="254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4"/>
      <c r="AB17" s="213"/>
      <c r="AC17" s="213"/>
      <c r="AD17" s="213"/>
    </row>
    <row r="18" ht="21.75" customHeight="1">
      <c r="A18" s="105" t="s">
        <v>70</v>
      </c>
      <c r="B18" s="106" t="s">
        <v>71</v>
      </c>
      <c r="C18" s="107" t="s">
        <v>5</v>
      </c>
      <c r="D18" s="109" t="s">
        <v>43</v>
      </c>
      <c r="E18" s="109" t="s">
        <v>43</v>
      </c>
      <c r="F18" s="109" t="s">
        <v>43</v>
      </c>
      <c r="G18" s="109" t="s">
        <v>43</v>
      </c>
      <c r="H18" s="109" t="s">
        <v>43</v>
      </c>
      <c r="I18" s="109" t="s">
        <v>43</v>
      </c>
      <c r="J18" s="109" t="s">
        <v>43</v>
      </c>
      <c r="K18" s="110">
        <f>(N7+Y7)*2</f>
        <v>5600</v>
      </c>
      <c r="L18" s="109" t="s">
        <v>43</v>
      </c>
      <c r="M18" s="109" t="s">
        <v>43</v>
      </c>
      <c r="N18" s="109" t="s">
        <v>43</v>
      </c>
      <c r="O18" s="109" t="s">
        <v>43</v>
      </c>
      <c r="P18" s="109" t="s">
        <v>43</v>
      </c>
      <c r="Q18" s="109" t="s">
        <v>43</v>
      </c>
      <c r="R18" s="109" t="s">
        <v>43</v>
      </c>
      <c r="S18" s="109" t="s">
        <v>43</v>
      </c>
      <c r="T18" s="109" t="s">
        <v>43</v>
      </c>
      <c r="U18" s="109" t="s">
        <v>43</v>
      </c>
      <c r="V18" s="109" t="s">
        <v>43</v>
      </c>
      <c r="W18" s="109" t="s">
        <v>43</v>
      </c>
      <c r="X18" s="109" t="s">
        <v>43</v>
      </c>
      <c r="Y18" s="109" t="s">
        <v>43</v>
      </c>
      <c r="Z18" s="109" t="s">
        <v>43</v>
      </c>
      <c r="AA18" s="109" t="s">
        <v>43</v>
      </c>
      <c r="AB18" s="255"/>
      <c r="AC18" s="255"/>
      <c r="AD18" s="256"/>
    </row>
    <row r="19" ht="21.75" customHeight="1">
      <c r="A19" s="114"/>
      <c r="B19" s="75"/>
      <c r="C19" s="115" t="s">
        <v>40</v>
      </c>
      <c r="D19" s="116" t="s">
        <v>43</v>
      </c>
      <c r="E19" s="116" t="s">
        <v>43</v>
      </c>
      <c r="F19" s="116" t="s">
        <v>43</v>
      </c>
      <c r="G19" s="116" t="s">
        <v>43</v>
      </c>
      <c r="H19" s="116" t="s">
        <v>43</v>
      </c>
      <c r="I19" s="116" t="s">
        <v>43</v>
      </c>
      <c r="J19" s="116" t="s">
        <v>43</v>
      </c>
      <c r="K19" s="117">
        <f>(N7+Y8)*2</f>
        <v>4740</v>
      </c>
      <c r="L19" s="116" t="s">
        <v>43</v>
      </c>
      <c r="M19" s="116" t="s">
        <v>43</v>
      </c>
      <c r="N19" s="116" t="s">
        <v>43</v>
      </c>
      <c r="O19" s="116" t="s">
        <v>43</v>
      </c>
      <c r="P19" s="116" t="s">
        <v>43</v>
      </c>
      <c r="Q19" s="116" t="s">
        <v>43</v>
      </c>
      <c r="R19" s="116" t="s">
        <v>43</v>
      </c>
      <c r="S19" s="116" t="s">
        <v>43</v>
      </c>
      <c r="T19" s="116" t="s">
        <v>43</v>
      </c>
      <c r="U19" s="116" t="s">
        <v>43</v>
      </c>
      <c r="V19" s="116" t="s">
        <v>43</v>
      </c>
      <c r="W19" s="116" t="s">
        <v>43</v>
      </c>
      <c r="X19" s="116" t="s">
        <v>43</v>
      </c>
      <c r="Y19" s="116" t="s">
        <v>43</v>
      </c>
      <c r="Z19" s="116" t="s">
        <v>43</v>
      </c>
      <c r="AA19" s="116" t="s">
        <v>43</v>
      </c>
      <c r="AB19" s="255"/>
      <c r="AC19" s="255"/>
      <c r="AD19" s="256"/>
    </row>
    <row r="20" ht="21.75" customHeight="1">
      <c r="A20" s="114"/>
      <c r="B20" s="75"/>
      <c r="C20" s="118" t="s">
        <v>7</v>
      </c>
      <c r="D20" s="119" t="s">
        <v>43</v>
      </c>
      <c r="E20" s="119" t="s">
        <v>43</v>
      </c>
      <c r="F20" s="119" t="s">
        <v>43</v>
      </c>
      <c r="G20" s="119" t="s">
        <v>43</v>
      </c>
      <c r="H20" s="119" t="s">
        <v>43</v>
      </c>
      <c r="I20" s="119" t="s">
        <v>43</v>
      </c>
      <c r="J20" s="119" t="s">
        <v>43</v>
      </c>
      <c r="K20" s="120">
        <f>(N7+Y9)*2</f>
        <v>4420</v>
      </c>
      <c r="L20" s="119" t="s">
        <v>43</v>
      </c>
      <c r="M20" s="119" t="s">
        <v>43</v>
      </c>
      <c r="N20" s="119" t="s">
        <v>43</v>
      </c>
      <c r="O20" s="119" t="s">
        <v>43</v>
      </c>
      <c r="P20" s="119" t="s">
        <v>43</v>
      </c>
      <c r="Q20" s="119" t="s">
        <v>43</v>
      </c>
      <c r="R20" s="119" t="s">
        <v>43</v>
      </c>
      <c r="S20" s="119" t="s">
        <v>43</v>
      </c>
      <c r="T20" s="119" t="s">
        <v>43</v>
      </c>
      <c r="U20" s="119" t="s">
        <v>43</v>
      </c>
      <c r="V20" s="119" t="s">
        <v>43</v>
      </c>
      <c r="W20" s="119" t="s">
        <v>43</v>
      </c>
      <c r="X20" s="119" t="s">
        <v>43</v>
      </c>
      <c r="Y20" s="119" t="s">
        <v>43</v>
      </c>
      <c r="Z20" s="119" t="s">
        <v>43</v>
      </c>
      <c r="AA20" s="119" t="s">
        <v>43</v>
      </c>
      <c r="AB20" s="255"/>
      <c r="AC20" s="255"/>
      <c r="AD20" s="256"/>
    </row>
    <row r="21" ht="21.75" customHeight="1">
      <c r="A21" s="114"/>
      <c r="B21" s="75"/>
      <c r="C21" s="107" t="s">
        <v>9</v>
      </c>
      <c r="D21" s="109" t="s">
        <v>43</v>
      </c>
      <c r="E21" s="109" t="s">
        <v>43</v>
      </c>
      <c r="F21" s="109" t="s">
        <v>43</v>
      </c>
      <c r="G21" s="109" t="s">
        <v>43</v>
      </c>
      <c r="H21" s="109" t="s">
        <v>43</v>
      </c>
      <c r="I21" s="109" t="s">
        <v>43</v>
      </c>
      <c r="J21" s="109" t="s">
        <v>43</v>
      </c>
      <c r="K21" s="110">
        <f>(N7+Y10)*2</f>
        <v>6180</v>
      </c>
      <c r="L21" s="109" t="s">
        <v>43</v>
      </c>
      <c r="M21" s="109" t="s">
        <v>43</v>
      </c>
      <c r="N21" s="109" t="s">
        <v>43</v>
      </c>
      <c r="O21" s="109" t="s">
        <v>43</v>
      </c>
      <c r="P21" s="109" t="s">
        <v>43</v>
      </c>
      <c r="Q21" s="109" t="s">
        <v>43</v>
      </c>
      <c r="R21" s="109" t="s">
        <v>43</v>
      </c>
      <c r="S21" s="109" t="s">
        <v>43</v>
      </c>
      <c r="T21" s="109" t="s">
        <v>43</v>
      </c>
      <c r="U21" s="109" t="s">
        <v>43</v>
      </c>
      <c r="V21" s="109" t="s">
        <v>43</v>
      </c>
      <c r="W21" s="109" t="s">
        <v>43</v>
      </c>
      <c r="X21" s="109" t="s">
        <v>43</v>
      </c>
      <c r="Y21" s="109" t="s">
        <v>43</v>
      </c>
      <c r="Z21" s="109" t="s">
        <v>43</v>
      </c>
      <c r="AA21" s="109" t="s">
        <v>43</v>
      </c>
      <c r="AB21" s="255"/>
      <c r="AC21" s="255"/>
      <c r="AD21" s="256"/>
    </row>
    <row r="22" ht="21.75" customHeight="1">
      <c r="A22" s="114"/>
      <c r="B22" s="75"/>
      <c r="C22" s="115" t="s">
        <v>41</v>
      </c>
      <c r="D22" s="116" t="s">
        <v>43</v>
      </c>
      <c r="E22" s="116" t="s">
        <v>43</v>
      </c>
      <c r="F22" s="116" t="s">
        <v>43</v>
      </c>
      <c r="G22" s="116" t="s">
        <v>43</v>
      </c>
      <c r="H22" s="116" t="s">
        <v>43</v>
      </c>
      <c r="I22" s="116" t="s">
        <v>43</v>
      </c>
      <c r="J22" s="116" t="s">
        <v>43</v>
      </c>
      <c r="K22" s="117">
        <f>(N7+Y11)*2</f>
        <v>5000</v>
      </c>
      <c r="L22" s="116" t="s">
        <v>43</v>
      </c>
      <c r="M22" s="116" t="s">
        <v>43</v>
      </c>
      <c r="N22" s="116" t="s">
        <v>43</v>
      </c>
      <c r="O22" s="116" t="s">
        <v>43</v>
      </c>
      <c r="P22" s="116" t="s">
        <v>43</v>
      </c>
      <c r="Q22" s="116" t="s">
        <v>43</v>
      </c>
      <c r="R22" s="116" t="s">
        <v>43</v>
      </c>
      <c r="S22" s="116" t="s">
        <v>43</v>
      </c>
      <c r="T22" s="116" t="s">
        <v>43</v>
      </c>
      <c r="U22" s="116" t="s">
        <v>43</v>
      </c>
      <c r="V22" s="116" t="s">
        <v>43</v>
      </c>
      <c r="W22" s="116" t="s">
        <v>43</v>
      </c>
      <c r="X22" s="116" t="s">
        <v>43</v>
      </c>
      <c r="Y22" s="116" t="s">
        <v>43</v>
      </c>
      <c r="Z22" s="116" t="s">
        <v>43</v>
      </c>
      <c r="AA22" s="116" t="s">
        <v>43</v>
      </c>
      <c r="AB22" s="255"/>
      <c r="AC22" s="255"/>
      <c r="AD22" s="256"/>
    </row>
    <row r="23" ht="21.75" customHeight="1">
      <c r="A23" s="114"/>
      <c r="B23" s="84"/>
      <c r="C23" s="118" t="s">
        <v>11</v>
      </c>
      <c r="D23" s="119" t="s">
        <v>43</v>
      </c>
      <c r="E23" s="119" t="s">
        <v>43</v>
      </c>
      <c r="F23" s="119" t="s">
        <v>43</v>
      </c>
      <c r="G23" s="119" t="s">
        <v>43</v>
      </c>
      <c r="H23" s="119" t="s">
        <v>43</v>
      </c>
      <c r="I23" s="119" t="s">
        <v>43</v>
      </c>
      <c r="J23" s="119" t="s">
        <v>43</v>
      </c>
      <c r="K23" s="120">
        <f>(N7+Y12)*2</f>
        <v>4580</v>
      </c>
      <c r="L23" s="119" t="s">
        <v>43</v>
      </c>
      <c r="M23" s="119" t="s">
        <v>43</v>
      </c>
      <c r="N23" s="119" t="s">
        <v>43</v>
      </c>
      <c r="O23" s="119" t="s">
        <v>43</v>
      </c>
      <c r="P23" s="119" t="s">
        <v>43</v>
      </c>
      <c r="Q23" s="119" t="s">
        <v>43</v>
      </c>
      <c r="R23" s="119" t="s">
        <v>43</v>
      </c>
      <c r="S23" s="119" t="s">
        <v>43</v>
      </c>
      <c r="T23" s="119" t="s">
        <v>43</v>
      </c>
      <c r="U23" s="119" t="s">
        <v>43</v>
      </c>
      <c r="V23" s="119" t="s">
        <v>43</v>
      </c>
      <c r="W23" s="119" t="s">
        <v>43</v>
      </c>
      <c r="X23" s="119" t="s">
        <v>43</v>
      </c>
      <c r="Y23" s="119" t="s">
        <v>43</v>
      </c>
      <c r="Z23" s="119" t="s">
        <v>43</v>
      </c>
      <c r="AA23" s="119" t="s">
        <v>43</v>
      </c>
      <c r="AB23" s="255"/>
      <c r="AC23" s="255"/>
      <c r="AD23" s="256"/>
    </row>
    <row r="24" ht="21.75" customHeight="1">
      <c r="A24" s="114"/>
      <c r="B24" s="106" t="s">
        <v>72</v>
      </c>
      <c r="C24" s="107" t="s">
        <v>5</v>
      </c>
      <c r="D24" s="109" t="s">
        <v>43</v>
      </c>
      <c r="E24" s="109" t="s">
        <v>43</v>
      </c>
      <c r="F24" s="109" t="s">
        <v>43</v>
      </c>
      <c r="G24" s="110">
        <f>N11+Y7</f>
        <v>2800</v>
      </c>
      <c r="H24" s="109">
        <f t="shared" ref="H24:H29" si="1">G24+(G24*0.25)</f>
        <v>3500</v>
      </c>
      <c r="I24" s="109">
        <f t="shared" ref="I24:I29" si="2">G24+(G24*0.5)</f>
        <v>4200</v>
      </c>
      <c r="J24" s="109" t="s">
        <v>43</v>
      </c>
      <c r="K24" s="109" t="s">
        <v>43</v>
      </c>
      <c r="L24" s="109" t="s">
        <v>43</v>
      </c>
      <c r="M24" s="109" t="s">
        <v>43</v>
      </c>
      <c r="N24" s="109" t="s">
        <v>43</v>
      </c>
      <c r="O24" s="109" t="s">
        <v>43</v>
      </c>
      <c r="P24" s="109" t="s">
        <v>43</v>
      </c>
      <c r="Q24" s="109" t="s">
        <v>43</v>
      </c>
      <c r="R24" s="109" t="s">
        <v>43</v>
      </c>
      <c r="S24" s="109" t="s">
        <v>43</v>
      </c>
      <c r="T24" s="109" t="s">
        <v>43</v>
      </c>
      <c r="U24" s="109" t="s">
        <v>43</v>
      </c>
      <c r="V24" s="109" t="s">
        <v>43</v>
      </c>
      <c r="W24" s="109" t="s">
        <v>43</v>
      </c>
      <c r="X24" s="109" t="s">
        <v>43</v>
      </c>
      <c r="Y24" s="109" t="s">
        <v>43</v>
      </c>
      <c r="Z24" s="109" t="s">
        <v>43</v>
      </c>
      <c r="AA24" s="109" t="s">
        <v>43</v>
      </c>
      <c r="AB24" s="256"/>
      <c r="AC24" s="256"/>
      <c r="AD24" s="256"/>
    </row>
    <row r="25" ht="21.75" customHeight="1">
      <c r="A25" s="114"/>
      <c r="B25" s="75"/>
      <c r="C25" s="115" t="s">
        <v>40</v>
      </c>
      <c r="D25" s="116" t="s">
        <v>43</v>
      </c>
      <c r="E25" s="116" t="s">
        <v>43</v>
      </c>
      <c r="F25" s="116" t="s">
        <v>43</v>
      </c>
      <c r="G25" s="117">
        <f>N11+Y8</f>
        <v>2370</v>
      </c>
      <c r="H25" s="116">
        <f t="shared" si="1"/>
        <v>2962.5</v>
      </c>
      <c r="I25" s="116">
        <f t="shared" si="2"/>
        <v>3555</v>
      </c>
      <c r="J25" s="116" t="s">
        <v>43</v>
      </c>
      <c r="K25" s="116" t="s">
        <v>43</v>
      </c>
      <c r="L25" s="116" t="s">
        <v>43</v>
      </c>
      <c r="M25" s="116" t="s">
        <v>43</v>
      </c>
      <c r="N25" s="116" t="s">
        <v>43</v>
      </c>
      <c r="O25" s="116" t="s">
        <v>43</v>
      </c>
      <c r="P25" s="116" t="s">
        <v>43</v>
      </c>
      <c r="Q25" s="116" t="s">
        <v>43</v>
      </c>
      <c r="R25" s="116" t="s">
        <v>43</v>
      </c>
      <c r="S25" s="116" t="s">
        <v>43</v>
      </c>
      <c r="T25" s="116" t="s">
        <v>43</v>
      </c>
      <c r="U25" s="116" t="s">
        <v>43</v>
      </c>
      <c r="V25" s="116" t="s">
        <v>43</v>
      </c>
      <c r="W25" s="116" t="s">
        <v>43</v>
      </c>
      <c r="X25" s="116" t="s">
        <v>43</v>
      </c>
      <c r="Y25" s="116" t="s">
        <v>43</v>
      </c>
      <c r="Z25" s="116" t="s">
        <v>43</v>
      </c>
      <c r="AA25" s="116" t="s">
        <v>43</v>
      </c>
      <c r="AB25" s="256"/>
      <c r="AC25" s="256"/>
      <c r="AD25" s="256"/>
    </row>
    <row r="26" ht="21.75" customHeight="1">
      <c r="A26" s="114"/>
      <c r="B26" s="75"/>
      <c r="C26" s="118" t="s">
        <v>7</v>
      </c>
      <c r="D26" s="119" t="s">
        <v>43</v>
      </c>
      <c r="E26" s="119" t="s">
        <v>43</v>
      </c>
      <c r="F26" s="119" t="s">
        <v>43</v>
      </c>
      <c r="G26" s="120">
        <f>N11+Y9</f>
        <v>2210</v>
      </c>
      <c r="H26" s="119">
        <f t="shared" si="1"/>
        <v>2762.5</v>
      </c>
      <c r="I26" s="119">
        <f t="shared" si="2"/>
        <v>3315</v>
      </c>
      <c r="J26" s="119" t="s">
        <v>43</v>
      </c>
      <c r="K26" s="119" t="s">
        <v>43</v>
      </c>
      <c r="L26" s="119" t="s">
        <v>43</v>
      </c>
      <c r="M26" s="119" t="s">
        <v>43</v>
      </c>
      <c r="N26" s="119" t="s">
        <v>43</v>
      </c>
      <c r="O26" s="119" t="s">
        <v>43</v>
      </c>
      <c r="P26" s="119" t="s">
        <v>43</v>
      </c>
      <c r="Q26" s="119" t="s">
        <v>43</v>
      </c>
      <c r="R26" s="119" t="s">
        <v>43</v>
      </c>
      <c r="S26" s="119" t="s">
        <v>43</v>
      </c>
      <c r="T26" s="119" t="s">
        <v>43</v>
      </c>
      <c r="U26" s="119" t="s">
        <v>43</v>
      </c>
      <c r="V26" s="119" t="s">
        <v>43</v>
      </c>
      <c r="W26" s="119" t="s">
        <v>43</v>
      </c>
      <c r="X26" s="119" t="s">
        <v>43</v>
      </c>
      <c r="Y26" s="119" t="s">
        <v>43</v>
      </c>
      <c r="Z26" s="119" t="s">
        <v>43</v>
      </c>
      <c r="AA26" s="119" t="s">
        <v>43</v>
      </c>
      <c r="AB26" s="256"/>
      <c r="AC26" s="256"/>
      <c r="AD26" s="256"/>
    </row>
    <row r="27" ht="21.75" customHeight="1">
      <c r="A27" s="114"/>
      <c r="B27" s="75"/>
      <c r="C27" s="107" t="s">
        <v>9</v>
      </c>
      <c r="D27" s="109" t="s">
        <v>43</v>
      </c>
      <c r="E27" s="109" t="s">
        <v>43</v>
      </c>
      <c r="F27" s="109" t="s">
        <v>43</v>
      </c>
      <c r="G27" s="110">
        <f>N11+Y10</f>
        <v>3090</v>
      </c>
      <c r="H27" s="109">
        <f t="shared" si="1"/>
        <v>3862.5</v>
      </c>
      <c r="I27" s="109">
        <f t="shared" si="2"/>
        <v>4635</v>
      </c>
      <c r="J27" s="109" t="s">
        <v>43</v>
      </c>
      <c r="K27" s="109" t="s">
        <v>43</v>
      </c>
      <c r="L27" s="109" t="s">
        <v>43</v>
      </c>
      <c r="M27" s="109" t="s">
        <v>43</v>
      </c>
      <c r="N27" s="109" t="s">
        <v>43</v>
      </c>
      <c r="O27" s="109" t="s">
        <v>43</v>
      </c>
      <c r="P27" s="109" t="s">
        <v>43</v>
      </c>
      <c r="Q27" s="109" t="s">
        <v>43</v>
      </c>
      <c r="R27" s="109" t="s">
        <v>43</v>
      </c>
      <c r="S27" s="109" t="s">
        <v>43</v>
      </c>
      <c r="T27" s="109" t="s">
        <v>43</v>
      </c>
      <c r="U27" s="109" t="s">
        <v>43</v>
      </c>
      <c r="V27" s="109" t="s">
        <v>43</v>
      </c>
      <c r="W27" s="109" t="s">
        <v>43</v>
      </c>
      <c r="X27" s="109" t="s">
        <v>43</v>
      </c>
      <c r="Y27" s="109" t="s">
        <v>43</v>
      </c>
      <c r="Z27" s="109" t="s">
        <v>43</v>
      </c>
      <c r="AA27" s="109" t="s">
        <v>43</v>
      </c>
      <c r="AB27" s="256"/>
      <c r="AC27" s="256"/>
      <c r="AD27" s="256"/>
    </row>
    <row r="28" ht="21.75" customHeight="1">
      <c r="A28" s="114"/>
      <c r="B28" s="75"/>
      <c r="C28" s="115" t="s">
        <v>41</v>
      </c>
      <c r="D28" s="116" t="s">
        <v>43</v>
      </c>
      <c r="E28" s="116" t="s">
        <v>43</v>
      </c>
      <c r="F28" s="116" t="s">
        <v>43</v>
      </c>
      <c r="G28" s="117">
        <f>N11+Y11</f>
        <v>2500</v>
      </c>
      <c r="H28" s="116">
        <f t="shared" si="1"/>
        <v>3125</v>
      </c>
      <c r="I28" s="116">
        <f t="shared" si="2"/>
        <v>3750</v>
      </c>
      <c r="J28" s="116" t="s">
        <v>43</v>
      </c>
      <c r="K28" s="116" t="s">
        <v>43</v>
      </c>
      <c r="L28" s="116" t="s">
        <v>43</v>
      </c>
      <c r="M28" s="116" t="s">
        <v>43</v>
      </c>
      <c r="N28" s="116" t="s">
        <v>43</v>
      </c>
      <c r="O28" s="116" t="s">
        <v>43</v>
      </c>
      <c r="P28" s="116" t="s">
        <v>43</v>
      </c>
      <c r="Q28" s="116" t="s">
        <v>43</v>
      </c>
      <c r="R28" s="116" t="s">
        <v>43</v>
      </c>
      <c r="S28" s="116" t="s">
        <v>43</v>
      </c>
      <c r="T28" s="116" t="s">
        <v>43</v>
      </c>
      <c r="U28" s="116" t="s">
        <v>43</v>
      </c>
      <c r="V28" s="116" t="s">
        <v>43</v>
      </c>
      <c r="W28" s="116" t="s">
        <v>43</v>
      </c>
      <c r="X28" s="116" t="s">
        <v>43</v>
      </c>
      <c r="Y28" s="116" t="s">
        <v>43</v>
      </c>
      <c r="Z28" s="116" t="s">
        <v>43</v>
      </c>
      <c r="AA28" s="116" t="s">
        <v>43</v>
      </c>
      <c r="AB28" s="256"/>
      <c r="AC28" s="256"/>
      <c r="AD28" s="256"/>
    </row>
    <row r="29" ht="21.75" customHeight="1">
      <c r="A29" s="114"/>
      <c r="B29" s="84"/>
      <c r="C29" s="118" t="s">
        <v>11</v>
      </c>
      <c r="D29" s="119" t="s">
        <v>43</v>
      </c>
      <c r="E29" s="119" t="s">
        <v>43</v>
      </c>
      <c r="F29" s="119" t="s">
        <v>43</v>
      </c>
      <c r="G29" s="120">
        <f>N11+Y12</f>
        <v>2290</v>
      </c>
      <c r="H29" s="119">
        <f t="shared" si="1"/>
        <v>2862.5</v>
      </c>
      <c r="I29" s="119">
        <f t="shared" si="2"/>
        <v>3435</v>
      </c>
      <c r="J29" s="119" t="s">
        <v>43</v>
      </c>
      <c r="K29" s="119" t="s">
        <v>43</v>
      </c>
      <c r="L29" s="119" t="s">
        <v>43</v>
      </c>
      <c r="M29" s="119" t="s">
        <v>43</v>
      </c>
      <c r="N29" s="119" t="s">
        <v>43</v>
      </c>
      <c r="O29" s="119" t="s">
        <v>43</v>
      </c>
      <c r="P29" s="119" t="s">
        <v>43</v>
      </c>
      <c r="Q29" s="119" t="s">
        <v>43</v>
      </c>
      <c r="R29" s="119" t="s">
        <v>43</v>
      </c>
      <c r="S29" s="119" t="s">
        <v>43</v>
      </c>
      <c r="T29" s="119" t="s">
        <v>43</v>
      </c>
      <c r="U29" s="119" t="s">
        <v>43</v>
      </c>
      <c r="V29" s="119" t="s">
        <v>43</v>
      </c>
      <c r="W29" s="119" t="s">
        <v>43</v>
      </c>
      <c r="X29" s="119" t="s">
        <v>43</v>
      </c>
      <c r="Y29" s="119" t="s">
        <v>43</v>
      </c>
      <c r="Z29" s="119" t="s">
        <v>43</v>
      </c>
      <c r="AA29" s="119" t="s">
        <v>43</v>
      </c>
      <c r="AB29" s="256"/>
      <c r="AC29" s="256"/>
      <c r="AD29" s="256"/>
    </row>
    <row r="30" ht="15.75" customHeight="1">
      <c r="A30" s="257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</row>
    <row r="31" ht="15.75" customHeight="1">
      <c r="A31" s="257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</row>
    <row r="32" ht="15.0" customHeight="1">
      <c r="A32" s="2" t="s">
        <v>45</v>
      </c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</row>
    <row r="33" ht="15.75" customHeight="1">
      <c r="A33" s="257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</row>
    <row r="34" ht="15.75" customHeight="1">
      <c r="A34" s="257"/>
      <c r="B34" s="213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  <c r="AC34" s="213"/>
      <c r="AD34" s="213"/>
    </row>
    <row r="35" ht="15.75" customHeight="1">
      <c r="A35" s="257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</row>
    <row r="36" ht="15.75" customHeight="1">
      <c r="A36" s="257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13"/>
      <c r="AC36" s="213"/>
      <c r="AD36" s="213"/>
    </row>
    <row r="37" ht="15.75" customHeight="1">
      <c r="A37" s="257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  <c r="AA37" s="213"/>
      <c r="AB37" s="213"/>
      <c r="AC37" s="213"/>
      <c r="AD37" s="213"/>
    </row>
    <row r="38" ht="15.75" customHeight="1">
      <c r="A38" s="257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213"/>
      <c r="AD38" s="213"/>
    </row>
    <row r="39" ht="15.75" customHeight="1">
      <c r="A39" s="257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</row>
    <row r="40" ht="15.75" customHeight="1">
      <c r="A40" s="257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  <c r="AD40" s="213"/>
    </row>
    <row r="41" ht="15.75" customHeight="1">
      <c r="A41" s="257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</row>
    <row r="42" ht="15.75" customHeight="1">
      <c r="A42" s="257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213"/>
      <c r="AB42" s="213"/>
      <c r="AC42" s="213"/>
      <c r="AD42" s="213"/>
    </row>
    <row r="43" ht="15.75" customHeight="1">
      <c r="A43" s="257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13"/>
      <c r="AC43" s="213"/>
      <c r="AD43" s="213"/>
    </row>
    <row r="44" ht="15.75" customHeight="1">
      <c r="A44" s="257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3"/>
      <c r="AC44" s="213"/>
      <c r="AD44" s="213"/>
    </row>
    <row r="45" ht="15.75" customHeight="1">
      <c r="A45" s="257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  <c r="AB45" s="213"/>
      <c r="AC45" s="213"/>
      <c r="AD45" s="213"/>
    </row>
    <row r="46" ht="15.75" customHeight="1">
      <c r="A46" s="257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</row>
    <row r="47" ht="15.75" customHeight="1">
      <c r="A47" s="257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  <c r="AA47" s="213"/>
      <c r="AB47" s="213"/>
      <c r="AC47" s="213"/>
      <c r="AD47" s="213"/>
    </row>
    <row r="48" ht="15.75" customHeight="1">
      <c r="A48" s="257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  <c r="AA48" s="213"/>
      <c r="AB48" s="213"/>
      <c r="AC48" s="213"/>
      <c r="AD48" s="213"/>
    </row>
    <row r="49" ht="15.75" customHeight="1">
      <c r="A49" s="257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3"/>
      <c r="AD49" s="213"/>
    </row>
    <row r="50" ht="15.75" customHeight="1">
      <c r="A50" s="257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  <c r="AA50" s="213"/>
      <c r="AB50" s="213"/>
      <c r="AC50" s="213"/>
      <c r="AD50" s="213"/>
    </row>
    <row r="51" ht="15.75" customHeight="1">
      <c r="A51" s="257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  <c r="AA51" s="213"/>
      <c r="AB51" s="213"/>
      <c r="AC51" s="213"/>
      <c r="AD51" s="213"/>
    </row>
    <row r="52" ht="15.75" customHeight="1">
      <c r="A52" s="257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  <c r="AA52" s="213"/>
      <c r="AB52" s="213"/>
      <c r="AC52" s="213"/>
      <c r="AD52" s="213"/>
    </row>
    <row r="53" ht="15.75" customHeight="1">
      <c r="A53" s="257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  <c r="AA53" s="213"/>
      <c r="AB53" s="213"/>
      <c r="AC53" s="213"/>
      <c r="AD53" s="213"/>
    </row>
    <row r="54" ht="15.75" customHeight="1">
      <c r="A54" s="257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</row>
    <row r="55" ht="15.75" customHeight="1">
      <c r="A55" s="257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3"/>
      <c r="AB55" s="213"/>
      <c r="AC55" s="213"/>
      <c r="AD55" s="213"/>
    </row>
    <row r="56" ht="15.75" customHeight="1">
      <c r="A56" s="257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3"/>
      <c r="AB56" s="213"/>
      <c r="AC56" s="213"/>
      <c r="AD56" s="213"/>
    </row>
    <row r="57" ht="15.75" customHeight="1">
      <c r="A57" s="257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  <c r="AA57" s="213"/>
      <c r="AB57" s="213"/>
      <c r="AC57" s="213"/>
      <c r="AD57" s="213"/>
    </row>
    <row r="58" ht="15.75" customHeight="1">
      <c r="A58" s="257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  <c r="AA58" s="213"/>
      <c r="AB58" s="213"/>
      <c r="AC58" s="213"/>
      <c r="AD58" s="213"/>
    </row>
    <row r="59" ht="15.75" customHeight="1">
      <c r="A59" s="257"/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3"/>
      <c r="AB59" s="213"/>
      <c r="AC59" s="213"/>
      <c r="AD59" s="213"/>
    </row>
    <row r="60" ht="15.75" customHeight="1">
      <c r="A60" s="257"/>
      <c r="B60" s="213"/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  <c r="AA60" s="213"/>
      <c r="AB60" s="213"/>
      <c r="AC60" s="213"/>
      <c r="AD60" s="213"/>
    </row>
    <row r="61" ht="15.75" customHeight="1">
      <c r="A61" s="257"/>
      <c r="B61" s="213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  <c r="AA61" s="213"/>
      <c r="AB61" s="213"/>
      <c r="AC61" s="213"/>
      <c r="AD61" s="213"/>
    </row>
    <row r="62" ht="15.75" customHeight="1">
      <c r="A62" s="257"/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  <c r="AA62" s="213"/>
      <c r="AB62" s="213"/>
      <c r="AC62" s="213"/>
      <c r="AD62" s="213"/>
    </row>
    <row r="63" ht="15.75" customHeight="1">
      <c r="A63" s="257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3"/>
      <c r="AB63" s="213"/>
      <c r="AC63" s="213"/>
      <c r="AD63" s="213"/>
    </row>
    <row r="64" ht="15.75" customHeight="1">
      <c r="A64" s="257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3"/>
      <c r="AB64" s="213"/>
      <c r="AC64" s="213"/>
      <c r="AD64" s="213"/>
    </row>
    <row r="65" ht="15.75" customHeight="1">
      <c r="A65" s="257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3"/>
      <c r="AB65" s="213"/>
      <c r="AC65" s="213"/>
      <c r="AD65" s="213"/>
    </row>
    <row r="66" ht="15.75" customHeight="1">
      <c r="A66" s="257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  <c r="AA66" s="213"/>
      <c r="AB66" s="213"/>
      <c r="AC66" s="213"/>
      <c r="AD66" s="213"/>
    </row>
    <row r="67" ht="15.75" customHeight="1">
      <c r="A67" s="257"/>
      <c r="B67" s="213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3"/>
      <c r="AB67" s="213"/>
      <c r="AC67" s="213"/>
      <c r="AD67" s="213"/>
    </row>
    <row r="68" ht="15.75" customHeight="1">
      <c r="A68" s="257"/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  <c r="AA68" s="213"/>
      <c r="AB68" s="213"/>
      <c r="AC68" s="213"/>
      <c r="AD68" s="213"/>
    </row>
    <row r="69" ht="15.75" customHeight="1">
      <c r="A69" s="257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  <c r="AA69" s="213"/>
      <c r="AB69" s="213"/>
      <c r="AC69" s="213"/>
      <c r="AD69" s="213"/>
    </row>
    <row r="70" ht="15.75" customHeight="1">
      <c r="A70" s="257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  <c r="AA70" s="213"/>
      <c r="AB70" s="213"/>
      <c r="AC70" s="213"/>
      <c r="AD70" s="213"/>
    </row>
    <row r="71" ht="15.75" customHeight="1">
      <c r="A71" s="257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213"/>
    </row>
    <row r="72" ht="15.75" customHeight="1">
      <c r="A72" s="257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  <c r="AB72" s="213"/>
      <c r="AC72" s="213"/>
      <c r="AD72" s="213"/>
    </row>
    <row r="73" ht="15.75" customHeight="1">
      <c r="A73" s="257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3"/>
      <c r="AB73" s="213"/>
      <c r="AC73" s="213"/>
      <c r="AD73" s="213"/>
    </row>
    <row r="74" ht="15.75" customHeight="1">
      <c r="A74" s="257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  <c r="AA74" s="213"/>
      <c r="AB74" s="213"/>
      <c r="AC74" s="213"/>
      <c r="AD74" s="213"/>
    </row>
    <row r="75" ht="15.75" customHeight="1">
      <c r="A75" s="257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  <c r="AA75" s="213"/>
      <c r="AB75" s="213"/>
      <c r="AC75" s="213"/>
      <c r="AD75" s="213"/>
    </row>
    <row r="76" ht="15.75" customHeight="1">
      <c r="A76" s="257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  <c r="AA76" s="213"/>
      <c r="AB76" s="213"/>
      <c r="AC76" s="213"/>
      <c r="AD76" s="213"/>
    </row>
    <row r="77" ht="15.75" customHeight="1">
      <c r="A77" s="257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  <c r="AA77" s="213"/>
      <c r="AB77" s="213"/>
      <c r="AC77" s="213"/>
      <c r="AD77" s="213"/>
    </row>
    <row r="78" ht="15.75" customHeight="1">
      <c r="A78" s="257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  <c r="AA78" s="213"/>
      <c r="AB78" s="213"/>
      <c r="AC78" s="213"/>
      <c r="AD78" s="213"/>
    </row>
    <row r="79" ht="15.75" customHeight="1">
      <c r="A79" s="257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  <c r="AA79" s="213"/>
      <c r="AB79" s="213"/>
      <c r="AC79" s="213"/>
      <c r="AD79" s="213"/>
    </row>
    <row r="80" ht="15.75" customHeight="1">
      <c r="A80" s="257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  <c r="AA80" s="213"/>
      <c r="AB80" s="213"/>
      <c r="AC80" s="213"/>
      <c r="AD80" s="213"/>
    </row>
    <row r="81" ht="15.75" customHeight="1">
      <c r="A81" s="257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  <c r="AA81" s="213"/>
      <c r="AB81" s="213"/>
      <c r="AC81" s="213"/>
      <c r="AD81" s="213"/>
    </row>
    <row r="82" ht="15.75" customHeight="1">
      <c r="A82" s="257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  <c r="AA82" s="213"/>
      <c r="AB82" s="213"/>
      <c r="AC82" s="213"/>
      <c r="AD82" s="213"/>
    </row>
    <row r="83" ht="15.75" customHeight="1">
      <c r="A83" s="257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  <c r="AA83" s="213"/>
      <c r="AB83" s="213"/>
      <c r="AC83" s="213"/>
      <c r="AD83" s="213"/>
    </row>
    <row r="84" ht="15.75" customHeight="1">
      <c r="A84" s="257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  <c r="AA84" s="213"/>
      <c r="AB84" s="213"/>
      <c r="AC84" s="213"/>
      <c r="AD84" s="213"/>
    </row>
    <row r="85" ht="15.75" customHeight="1">
      <c r="A85" s="257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  <c r="AA85" s="213"/>
      <c r="AB85" s="213"/>
      <c r="AC85" s="213"/>
      <c r="AD85" s="213"/>
    </row>
    <row r="86" ht="15.75" customHeight="1">
      <c r="A86" s="257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  <c r="AA86" s="213"/>
      <c r="AB86" s="213"/>
      <c r="AC86" s="213"/>
      <c r="AD86" s="213"/>
    </row>
    <row r="87" ht="15.75" customHeight="1">
      <c r="A87" s="257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  <c r="AA87" s="213"/>
      <c r="AB87" s="213"/>
      <c r="AC87" s="213"/>
      <c r="AD87" s="213"/>
    </row>
    <row r="88" ht="15.75" customHeight="1">
      <c r="A88" s="257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  <c r="AA88" s="213"/>
      <c r="AB88" s="213"/>
      <c r="AC88" s="213"/>
      <c r="AD88" s="213"/>
    </row>
    <row r="89" ht="15.75" customHeight="1">
      <c r="A89" s="257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  <c r="AA89" s="213"/>
      <c r="AB89" s="213"/>
      <c r="AC89" s="213"/>
      <c r="AD89" s="213"/>
    </row>
    <row r="90" ht="15.75" customHeight="1">
      <c r="A90" s="257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  <c r="Z90" s="213"/>
      <c r="AA90" s="213"/>
      <c r="AB90" s="213"/>
      <c r="AC90" s="213"/>
      <c r="AD90" s="213"/>
    </row>
    <row r="91" ht="15.75" customHeight="1">
      <c r="A91" s="257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  <c r="AA91" s="213"/>
      <c r="AB91" s="213"/>
      <c r="AC91" s="213"/>
      <c r="AD91" s="213"/>
    </row>
    <row r="92" ht="15.75" customHeight="1">
      <c r="A92" s="257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213"/>
    </row>
    <row r="93" ht="15.75" customHeight="1">
      <c r="A93" s="257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  <c r="AB93" s="213"/>
      <c r="AC93" s="213"/>
      <c r="AD93" s="213"/>
    </row>
    <row r="94" ht="15.75" customHeight="1">
      <c r="A94" s="257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3"/>
      <c r="AB94" s="213"/>
      <c r="AC94" s="213"/>
      <c r="AD94" s="213"/>
    </row>
    <row r="95" ht="15.75" customHeight="1">
      <c r="A95" s="257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3"/>
      <c r="AC95" s="213"/>
      <c r="AD95" s="213"/>
    </row>
    <row r="96" ht="15.75" customHeight="1">
      <c r="A96" s="257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3"/>
      <c r="AC96" s="213"/>
      <c r="AD96" s="213"/>
    </row>
    <row r="97" ht="15.75" customHeight="1">
      <c r="A97" s="257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  <c r="AA97" s="213"/>
      <c r="AB97" s="213"/>
      <c r="AC97" s="213"/>
      <c r="AD97" s="213"/>
    </row>
    <row r="98" ht="15.75" customHeight="1">
      <c r="A98" s="257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3"/>
      <c r="AC98" s="213"/>
      <c r="AD98" s="213"/>
    </row>
    <row r="99" ht="15.75" customHeight="1">
      <c r="A99" s="257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3"/>
      <c r="AC99" s="213"/>
      <c r="AD99" s="213"/>
    </row>
    <row r="100" ht="15.75" customHeight="1">
      <c r="A100" s="257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3"/>
      <c r="AC100" s="213"/>
      <c r="AD100" s="213"/>
    </row>
    <row r="101" ht="15.75" customHeight="1">
      <c r="A101" s="257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3"/>
      <c r="AC101" s="213"/>
      <c r="AD101" s="213"/>
    </row>
    <row r="102" ht="15.75" customHeight="1">
      <c r="A102" s="257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3"/>
      <c r="AC102" s="213"/>
      <c r="AD102" s="213"/>
    </row>
    <row r="103" ht="15.75" customHeight="1">
      <c r="A103" s="257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3"/>
      <c r="AC103" s="213"/>
      <c r="AD103" s="213"/>
    </row>
    <row r="104" ht="15.75" customHeight="1">
      <c r="A104" s="257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3"/>
      <c r="AC104" s="213"/>
      <c r="AD104" s="213"/>
    </row>
    <row r="105" ht="15.75" customHeight="1">
      <c r="A105" s="257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3"/>
      <c r="AC105" s="213"/>
      <c r="AD105" s="213"/>
    </row>
    <row r="106" ht="15.75" customHeight="1">
      <c r="A106" s="257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  <c r="AB106" s="213"/>
      <c r="AC106" s="213"/>
      <c r="AD106" s="213"/>
    </row>
    <row r="107" ht="15.75" customHeight="1">
      <c r="A107" s="257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3"/>
      <c r="AC107" s="213"/>
      <c r="AD107" s="213"/>
    </row>
    <row r="108" ht="15.75" customHeight="1">
      <c r="A108" s="257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3"/>
      <c r="AC108" s="213"/>
      <c r="AD108" s="213"/>
    </row>
    <row r="109" ht="15.75" customHeight="1">
      <c r="A109" s="257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3"/>
      <c r="AD109" s="213"/>
    </row>
    <row r="110" ht="15.75" customHeight="1">
      <c r="A110" s="257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  <c r="AA110" s="213"/>
      <c r="AB110" s="213"/>
      <c r="AC110" s="213"/>
      <c r="AD110" s="213"/>
    </row>
    <row r="111" ht="15.75" customHeight="1">
      <c r="A111" s="257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  <c r="AA111" s="213"/>
      <c r="AB111" s="213"/>
      <c r="AC111" s="213"/>
      <c r="AD111" s="213"/>
    </row>
    <row r="112" ht="15.75" customHeight="1">
      <c r="A112" s="257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  <c r="AA112" s="213"/>
      <c r="AB112" s="213"/>
      <c r="AC112" s="213"/>
      <c r="AD112" s="213"/>
    </row>
    <row r="113" ht="15.75" customHeight="1">
      <c r="A113" s="257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3"/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  <c r="AA113" s="213"/>
      <c r="AB113" s="213"/>
      <c r="AC113" s="213"/>
      <c r="AD113" s="213"/>
    </row>
    <row r="114" ht="15.75" customHeight="1">
      <c r="A114" s="257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  <c r="AA114" s="213"/>
      <c r="AB114" s="213"/>
      <c r="AC114" s="213"/>
      <c r="AD114" s="213"/>
    </row>
    <row r="115" ht="15.75" customHeight="1">
      <c r="A115" s="257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  <c r="AA115" s="213"/>
      <c r="AB115" s="213"/>
      <c r="AC115" s="213"/>
      <c r="AD115" s="213"/>
    </row>
    <row r="116" ht="15.75" customHeight="1">
      <c r="A116" s="257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  <c r="AA116" s="213"/>
      <c r="AB116" s="213"/>
      <c r="AC116" s="213"/>
      <c r="AD116" s="213"/>
    </row>
    <row r="117" ht="15.75" customHeight="1">
      <c r="A117" s="257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  <c r="AA117" s="213"/>
      <c r="AB117" s="213"/>
      <c r="AC117" s="213"/>
      <c r="AD117" s="213"/>
    </row>
    <row r="118" ht="15.75" customHeight="1">
      <c r="A118" s="257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  <c r="AA118" s="213"/>
      <c r="AB118" s="213"/>
      <c r="AC118" s="213"/>
      <c r="AD118" s="213"/>
    </row>
    <row r="119" ht="15.75" customHeight="1">
      <c r="A119" s="257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  <c r="AA119" s="213"/>
      <c r="AB119" s="213"/>
      <c r="AC119" s="213"/>
      <c r="AD119" s="213"/>
    </row>
    <row r="120" ht="15.75" customHeight="1">
      <c r="A120" s="257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  <c r="AA120" s="213"/>
      <c r="AB120" s="213"/>
      <c r="AC120" s="213"/>
      <c r="AD120" s="213"/>
    </row>
    <row r="121" ht="15.75" customHeight="1">
      <c r="A121" s="257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  <c r="AA121" s="213"/>
      <c r="AB121" s="213"/>
      <c r="AC121" s="213"/>
      <c r="AD121" s="213"/>
    </row>
    <row r="122" ht="15.75" customHeight="1">
      <c r="A122" s="257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  <c r="AA122" s="213"/>
      <c r="AB122" s="213"/>
      <c r="AC122" s="213"/>
      <c r="AD122" s="213"/>
    </row>
    <row r="123" ht="15.75" customHeight="1">
      <c r="A123" s="257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3"/>
      <c r="Z123" s="213"/>
      <c r="AA123" s="213"/>
      <c r="AB123" s="213"/>
      <c r="AC123" s="213"/>
      <c r="AD123" s="213"/>
    </row>
    <row r="124" ht="15.75" customHeight="1">
      <c r="A124" s="257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  <c r="AA124" s="213"/>
      <c r="AB124" s="213"/>
      <c r="AC124" s="213"/>
      <c r="AD124" s="213"/>
    </row>
    <row r="125" ht="15.75" customHeight="1">
      <c r="A125" s="257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  <c r="AA125" s="213"/>
      <c r="AB125" s="213"/>
      <c r="AC125" s="213"/>
      <c r="AD125" s="213"/>
    </row>
    <row r="126" ht="15.75" customHeight="1">
      <c r="A126" s="257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  <c r="AA126" s="213"/>
      <c r="AB126" s="213"/>
      <c r="AC126" s="213"/>
      <c r="AD126" s="213"/>
    </row>
    <row r="127" ht="15.75" customHeight="1">
      <c r="A127" s="257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  <c r="AA127" s="213"/>
      <c r="AB127" s="213"/>
      <c r="AC127" s="213"/>
      <c r="AD127" s="213"/>
    </row>
    <row r="128" ht="15.75" customHeight="1">
      <c r="A128" s="257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  <c r="AA128" s="213"/>
      <c r="AB128" s="213"/>
      <c r="AC128" s="213"/>
      <c r="AD128" s="213"/>
    </row>
    <row r="129" ht="15.75" customHeight="1">
      <c r="A129" s="257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13"/>
      <c r="Z129" s="213"/>
      <c r="AA129" s="213"/>
      <c r="AB129" s="213"/>
      <c r="AC129" s="213"/>
      <c r="AD129" s="213"/>
    </row>
    <row r="130" ht="15.75" customHeight="1">
      <c r="A130" s="257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13"/>
      <c r="Z130" s="213"/>
      <c r="AA130" s="213"/>
      <c r="AB130" s="213"/>
      <c r="AC130" s="213"/>
      <c r="AD130" s="213"/>
    </row>
    <row r="131" ht="15.75" customHeight="1">
      <c r="A131" s="257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  <c r="AA131" s="213"/>
      <c r="AB131" s="213"/>
      <c r="AC131" s="213"/>
      <c r="AD131" s="213"/>
    </row>
    <row r="132" ht="15.75" customHeight="1">
      <c r="A132" s="257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  <c r="AA132" s="213"/>
      <c r="AB132" s="213"/>
      <c r="AC132" s="213"/>
      <c r="AD132" s="213"/>
    </row>
    <row r="133" ht="15.75" customHeight="1">
      <c r="A133" s="257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  <c r="AA133" s="213"/>
      <c r="AB133" s="213"/>
      <c r="AC133" s="213"/>
      <c r="AD133" s="213"/>
    </row>
    <row r="134" ht="15.75" customHeight="1">
      <c r="A134" s="257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  <c r="AA134" s="213"/>
      <c r="AB134" s="213"/>
      <c r="AC134" s="213"/>
      <c r="AD134" s="213"/>
    </row>
    <row r="135" ht="15.75" customHeight="1">
      <c r="A135" s="257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  <c r="AA135" s="213"/>
      <c r="AB135" s="213"/>
      <c r="AC135" s="213"/>
      <c r="AD135" s="213"/>
    </row>
    <row r="136" ht="15.75" customHeight="1">
      <c r="A136" s="257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  <c r="AA136" s="213"/>
      <c r="AB136" s="213"/>
      <c r="AC136" s="213"/>
      <c r="AD136" s="213"/>
    </row>
    <row r="137" ht="15.75" customHeight="1">
      <c r="A137" s="257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  <c r="AA137" s="213"/>
      <c r="AB137" s="213"/>
      <c r="AC137" s="213"/>
      <c r="AD137" s="213"/>
    </row>
    <row r="138" ht="15.75" customHeight="1">
      <c r="A138" s="257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  <c r="AA138" s="213"/>
      <c r="AB138" s="213"/>
      <c r="AC138" s="213"/>
      <c r="AD138" s="213"/>
    </row>
    <row r="139" ht="15.75" customHeight="1">
      <c r="A139" s="257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  <c r="AB139" s="213"/>
      <c r="AC139" s="213"/>
      <c r="AD139" s="213"/>
    </row>
    <row r="140" ht="15.75" customHeight="1">
      <c r="A140" s="257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  <c r="AA140" s="213"/>
      <c r="AB140" s="213"/>
      <c r="AC140" s="213"/>
      <c r="AD140" s="213"/>
    </row>
    <row r="141" ht="15.75" customHeight="1">
      <c r="A141" s="257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  <c r="AA141" s="213"/>
      <c r="AB141" s="213"/>
      <c r="AC141" s="213"/>
      <c r="AD141" s="213"/>
    </row>
    <row r="142" ht="15.75" customHeight="1">
      <c r="A142" s="257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3"/>
      <c r="AC142" s="213"/>
      <c r="AD142" s="213"/>
    </row>
    <row r="143" ht="15.75" customHeight="1">
      <c r="A143" s="257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  <c r="AA143" s="213"/>
      <c r="AB143" s="213"/>
      <c r="AC143" s="213"/>
      <c r="AD143" s="213"/>
    </row>
    <row r="144" ht="15.75" customHeight="1">
      <c r="A144" s="257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  <c r="AA144" s="213"/>
      <c r="AB144" s="213"/>
      <c r="AC144" s="213"/>
      <c r="AD144" s="213"/>
    </row>
    <row r="145" ht="15.75" customHeight="1">
      <c r="A145" s="257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  <c r="AA145" s="213"/>
      <c r="AB145" s="213"/>
      <c r="AC145" s="213"/>
      <c r="AD145" s="213"/>
    </row>
    <row r="146" ht="15.75" customHeight="1">
      <c r="A146" s="257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  <c r="AA146" s="213"/>
      <c r="AB146" s="213"/>
      <c r="AC146" s="213"/>
      <c r="AD146" s="213"/>
    </row>
    <row r="147" ht="15.75" customHeight="1">
      <c r="A147" s="257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  <c r="AA147" s="213"/>
      <c r="AB147" s="213"/>
      <c r="AC147" s="213"/>
      <c r="AD147" s="213"/>
    </row>
    <row r="148" ht="15.75" customHeight="1">
      <c r="A148" s="257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  <c r="AA148" s="213"/>
      <c r="AB148" s="213"/>
      <c r="AC148" s="213"/>
      <c r="AD148" s="213"/>
    </row>
    <row r="149" ht="15.75" customHeight="1">
      <c r="A149" s="257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  <c r="AA149" s="213"/>
      <c r="AB149" s="213"/>
      <c r="AC149" s="213"/>
      <c r="AD149" s="213"/>
    </row>
    <row r="150" ht="15.75" customHeight="1">
      <c r="A150" s="257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  <c r="AA150" s="213"/>
      <c r="AB150" s="213"/>
      <c r="AC150" s="213"/>
      <c r="AD150" s="213"/>
    </row>
    <row r="151" ht="15.75" customHeight="1">
      <c r="A151" s="257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  <c r="AA151" s="213"/>
      <c r="AB151" s="213"/>
      <c r="AC151" s="213"/>
      <c r="AD151" s="213"/>
    </row>
    <row r="152" ht="15.75" customHeight="1">
      <c r="A152" s="257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  <c r="AA152" s="213"/>
      <c r="AB152" s="213"/>
      <c r="AC152" s="213"/>
      <c r="AD152" s="213"/>
    </row>
    <row r="153" ht="15.75" customHeight="1">
      <c r="A153" s="257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  <c r="AA153" s="213"/>
      <c r="AB153" s="213"/>
      <c r="AC153" s="213"/>
      <c r="AD153" s="213"/>
    </row>
    <row r="154" ht="15.75" customHeight="1">
      <c r="A154" s="257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  <c r="AA154" s="213"/>
      <c r="AB154" s="213"/>
      <c r="AC154" s="213"/>
      <c r="AD154" s="213"/>
    </row>
    <row r="155" ht="15.75" customHeight="1">
      <c r="A155" s="257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  <c r="AA155" s="213"/>
      <c r="AB155" s="213"/>
      <c r="AC155" s="213"/>
      <c r="AD155" s="213"/>
    </row>
    <row r="156" ht="15.75" customHeight="1">
      <c r="A156" s="257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  <c r="AA156" s="213"/>
      <c r="AB156" s="213"/>
      <c r="AC156" s="213"/>
      <c r="AD156" s="213"/>
    </row>
    <row r="157" ht="15.75" customHeight="1">
      <c r="A157" s="257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  <c r="AA157" s="213"/>
      <c r="AB157" s="213"/>
      <c r="AC157" s="213"/>
      <c r="AD157" s="213"/>
    </row>
    <row r="158" ht="15.75" customHeight="1">
      <c r="A158" s="257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  <c r="AA158" s="213"/>
      <c r="AB158" s="213"/>
      <c r="AC158" s="213"/>
      <c r="AD158" s="213"/>
    </row>
    <row r="159" ht="15.75" customHeight="1">
      <c r="A159" s="257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3"/>
      <c r="Z159" s="213"/>
      <c r="AA159" s="213"/>
      <c r="AB159" s="213"/>
      <c r="AC159" s="213"/>
      <c r="AD159" s="213"/>
    </row>
    <row r="160" ht="15.75" customHeight="1">
      <c r="A160" s="257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3"/>
      <c r="Z160" s="213"/>
      <c r="AA160" s="213"/>
      <c r="AB160" s="213"/>
      <c r="AC160" s="213"/>
      <c r="AD160" s="213"/>
    </row>
    <row r="161" ht="15.75" customHeight="1">
      <c r="A161" s="257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  <c r="AA161" s="213"/>
      <c r="AB161" s="213"/>
      <c r="AC161" s="213"/>
      <c r="AD161" s="213"/>
    </row>
    <row r="162" ht="15.75" customHeight="1">
      <c r="A162" s="257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  <c r="T162" s="213"/>
      <c r="U162" s="213"/>
      <c r="V162" s="213"/>
      <c r="W162" s="213"/>
      <c r="X162" s="213"/>
      <c r="Y162" s="213"/>
      <c r="Z162" s="213"/>
      <c r="AA162" s="213"/>
      <c r="AB162" s="213"/>
      <c r="AC162" s="213"/>
      <c r="AD162" s="213"/>
    </row>
    <row r="163" ht="15.75" customHeight="1">
      <c r="A163" s="257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  <c r="AA163" s="213"/>
      <c r="AB163" s="213"/>
      <c r="AC163" s="213"/>
      <c r="AD163" s="213"/>
    </row>
    <row r="164" ht="15.75" customHeight="1">
      <c r="A164" s="257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  <c r="AA164" s="213"/>
      <c r="AB164" s="213"/>
      <c r="AC164" s="213"/>
      <c r="AD164" s="213"/>
    </row>
    <row r="165" ht="15.75" customHeight="1">
      <c r="A165" s="257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  <c r="AA165" s="213"/>
      <c r="AB165" s="213"/>
      <c r="AC165" s="213"/>
      <c r="AD165" s="213"/>
    </row>
    <row r="166" ht="15.75" customHeight="1">
      <c r="A166" s="257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  <c r="AA166" s="213"/>
      <c r="AB166" s="213"/>
      <c r="AC166" s="213"/>
      <c r="AD166" s="213"/>
    </row>
    <row r="167" ht="15.75" customHeight="1">
      <c r="A167" s="257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  <c r="AA167" s="213"/>
      <c r="AB167" s="213"/>
      <c r="AC167" s="213"/>
      <c r="AD167" s="213"/>
    </row>
    <row r="168" ht="15.75" customHeight="1">
      <c r="A168" s="257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  <c r="AA168" s="213"/>
      <c r="AB168" s="213"/>
      <c r="AC168" s="213"/>
      <c r="AD168" s="213"/>
    </row>
    <row r="169" ht="15.75" customHeight="1">
      <c r="A169" s="257"/>
      <c r="B169" s="213"/>
      <c r="C169" s="213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3"/>
      <c r="T169" s="213"/>
      <c r="U169" s="213"/>
      <c r="V169" s="213"/>
      <c r="W169" s="213"/>
      <c r="X169" s="213"/>
      <c r="Y169" s="213"/>
      <c r="Z169" s="213"/>
      <c r="AA169" s="213"/>
      <c r="AB169" s="213"/>
      <c r="AC169" s="213"/>
      <c r="AD169" s="213"/>
    </row>
    <row r="170" ht="15.75" customHeight="1">
      <c r="A170" s="257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  <c r="AA170" s="213"/>
      <c r="AB170" s="213"/>
      <c r="AC170" s="213"/>
      <c r="AD170" s="213"/>
    </row>
    <row r="171" ht="15.75" customHeight="1">
      <c r="A171" s="257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3"/>
      <c r="Z171" s="213"/>
      <c r="AA171" s="213"/>
      <c r="AB171" s="213"/>
      <c r="AC171" s="213"/>
      <c r="AD171" s="213"/>
    </row>
    <row r="172" ht="15.75" customHeight="1">
      <c r="A172" s="257"/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3"/>
      <c r="W172" s="213"/>
      <c r="X172" s="213"/>
      <c r="Y172" s="213"/>
      <c r="Z172" s="213"/>
      <c r="AA172" s="213"/>
      <c r="AB172" s="213"/>
      <c r="AC172" s="213"/>
      <c r="AD172" s="213"/>
    </row>
    <row r="173" ht="15.75" customHeight="1">
      <c r="A173" s="257"/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3"/>
      <c r="Z173" s="213"/>
      <c r="AA173" s="213"/>
      <c r="AB173" s="213"/>
      <c r="AC173" s="213"/>
      <c r="AD173" s="213"/>
    </row>
    <row r="174" ht="15.75" customHeight="1">
      <c r="A174" s="257"/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3"/>
      <c r="Z174" s="213"/>
      <c r="AA174" s="213"/>
      <c r="AB174" s="213"/>
      <c r="AC174" s="213"/>
      <c r="AD174" s="213"/>
    </row>
    <row r="175" ht="15.75" customHeight="1">
      <c r="A175" s="257"/>
      <c r="B175" s="213"/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  <c r="Z175" s="213"/>
      <c r="AA175" s="213"/>
      <c r="AB175" s="213"/>
      <c r="AC175" s="213"/>
      <c r="AD175" s="213"/>
    </row>
    <row r="176" ht="15.75" customHeight="1">
      <c r="A176" s="257"/>
      <c r="B176" s="213"/>
      <c r="C176" s="213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3"/>
      <c r="AA176" s="213"/>
      <c r="AB176" s="213"/>
      <c r="AC176" s="213"/>
      <c r="AD176" s="213"/>
    </row>
    <row r="177" ht="15.75" customHeight="1">
      <c r="A177" s="257"/>
      <c r="B177" s="213"/>
      <c r="C177" s="213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  <c r="AA177" s="213"/>
      <c r="AB177" s="213"/>
      <c r="AC177" s="213"/>
      <c r="AD177" s="213"/>
    </row>
    <row r="178" ht="15.75" customHeight="1">
      <c r="A178" s="257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  <c r="AA178" s="213"/>
      <c r="AB178" s="213"/>
      <c r="AC178" s="213"/>
      <c r="AD178" s="213"/>
    </row>
    <row r="179" ht="15.75" customHeight="1">
      <c r="A179" s="257"/>
      <c r="B179" s="213"/>
      <c r="C179" s="213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  <c r="AA179" s="213"/>
      <c r="AB179" s="213"/>
      <c r="AC179" s="213"/>
      <c r="AD179" s="213"/>
    </row>
    <row r="180" ht="15.75" customHeight="1">
      <c r="A180" s="257"/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  <c r="AA180" s="213"/>
      <c r="AB180" s="213"/>
      <c r="AC180" s="213"/>
      <c r="AD180" s="213"/>
    </row>
    <row r="181" ht="15.75" customHeight="1">
      <c r="A181" s="257"/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  <c r="AA181" s="213"/>
      <c r="AB181" s="213"/>
      <c r="AC181" s="213"/>
      <c r="AD181" s="213"/>
    </row>
    <row r="182" ht="15.75" customHeight="1">
      <c r="A182" s="257"/>
      <c r="B182" s="213"/>
      <c r="C182" s="213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  <c r="AA182" s="213"/>
      <c r="AB182" s="213"/>
      <c r="AC182" s="213"/>
      <c r="AD182" s="213"/>
    </row>
    <row r="183" ht="15.75" customHeight="1">
      <c r="A183" s="257"/>
      <c r="B183" s="213"/>
      <c r="C183" s="213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  <c r="AA183" s="213"/>
      <c r="AB183" s="213"/>
      <c r="AC183" s="213"/>
      <c r="AD183" s="213"/>
    </row>
    <row r="184" ht="15.75" customHeight="1">
      <c r="A184" s="257"/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  <c r="AA184" s="213"/>
      <c r="AB184" s="213"/>
      <c r="AC184" s="213"/>
      <c r="AD184" s="213"/>
    </row>
    <row r="185" ht="15.75" customHeight="1">
      <c r="A185" s="257"/>
      <c r="B185" s="213"/>
      <c r="C185" s="213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  <c r="AA185" s="213"/>
      <c r="AB185" s="213"/>
      <c r="AC185" s="213"/>
      <c r="AD185" s="213"/>
    </row>
    <row r="186" ht="15.75" customHeight="1">
      <c r="A186" s="257"/>
      <c r="B186" s="213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  <c r="AA186" s="213"/>
      <c r="AB186" s="213"/>
      <c r="AC186" s="213"/>
      <c r="AD186" s="213"/>
    </row>
    <row r="187" ht="15.75" customHeight="1">
      <c r="A187" s="257"/>
      <c r="B187" s="213"/>
      <c r="C187" s="213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  <c r="AA187" s="213"/>
      <c r="AB187" s="213"/>
      <c r="AC187" s="213"/>
      <c r="AD187" s="213"/>
    </row>
    <row r="188" ht="15.75" customHeight="1">
      <c r="A188" s="257"/>
      <c r="B188" s="213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  <c r="AA188" s="213"/>
      <c r="AB188" s="213"/>
      <c r="AC188" s="213"/>
      <c r="AD188" s="213"/>
    </row>
    <row r="189" ht="15.75" customHeight="1">
      <c r="A189" s="257"/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  <c r="AA189" s="213"/>
      <c r="AB189" s="213"/>
      <c r="AC189" s="213"/>
      <c r="AD189" s="213"/>
    </row>
    <row r="190" ht="15.75" customHeight="1">
      <c r="A190" s="257"/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  <c r="AA190" s="213"/>
      <c r="AB190" s="213"/>
      <c r="AC190" s="213"/>
      <c r="AD190" s="213"/>
    </row>
    <row r="191" ht="15.75" customHeight="1">
      <c r="A191" s="257"/>
      <c r="B191" s="213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  <c r="AA191" s="213"/>
      <c r="AB191" s="213"/>
      <c r="AC191" s="213"/>
      <c r="AD191" s="213"/>
    </row>
    <row r="192" ht="15.75" customHeight="1">
      <c r="A192" s="257"/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  <c r="AA192" s="213"/>
      <c r="AB192" s="213"/>
      <c r="AC192" s="213"/>
      <c r="AD192" s="213"/>
    </row>
    <row r="193" ht="15.75" customHeight="1">
      <c r="A193" s="257"/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  <c r="AA193" s="213"/>
      <c r="AB193" s="213"/>
      <c r="AC193" s="213"/>
      <c r="AD193" s="213"/>
    </row>
    <row r="194" ht="15.75" customHeight="1">
      <c r="A194" s="257"/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  <c r="AA194" s="213"/>
      <c r="AB194" s="213"/>
      <c r="AC194" s="213"/>
      <c r="AD194" s="213"/>
    </row>
    <row r="195" ht="15.75" customHeight="1">
      <c r="A195" s="257"/>
      <c r="B195" s="213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  <c r="S195" s="213"/>
      <c r="T195" s="213"/>
      <c r="U195" s="213"/>
      <c r="V195" s="213"/>
      <c r="W195" s="213"/>
      <c r="X195" s="213"/>
      <c r="Y195" s="213"/>
      <c r="Z195" s="213"/>
      <c r="AA195" s="213"/>
      <c r="AB195" s="213"/>
      <c r="AC195" s="213"/>
      <c r="AD195" s="213"/>
    </row>
    <row r="196" ht="15.75" customHeight="1">
      <c r="A196" s="257"/>
      <c r="B196" s="213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  <c r="S196" s="213"/>
      <c r="T196" s="213"/>
      <c r="U196" s="213"/>
      <c r="V196" s="213"/>
      <c r="W196" s="213"/>
      <c r="X196" s="213"/>
      <c r="Y196" s="213"/>
      <c r="Z196" s="213"/>
      <c r="AA196" s="213"/>
      <c r="AB196" s="213"/>
      <c r="AC196" s="213"/>
      <c r="AD196" s="213"/>
    </row>
    <row r="197" ht="15.75" customHeight="1">
      <c r="A197" s="257"/>
      <c r="B197" s="213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  <c r="AA197" s="213"/>
      <c r="AB197" s="213"/>
      <c r="AC197" s="213"/>
      <c r="AD197" s="213"/>
    </row>
    <row r="198" ht="15.75" customHeight="1">
      <c r="A198" s="257"/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  <c r="S198" s="213"/>
      <c r="T198" s="213"/>
      <c r="U198" s="213"/>
      <c r="V198" s="213"/>
      <c r="W198" s="213"/>
      <c r="X198" s="213"/>
      <c r="Y198" s="213"/>
      <c r="Z198" s="213"/>
      <c r="AA198" s="213"/>
      <c r="AB198" s="213"/>
      <c r="AC198" s="213"/>
      <c r="AD198" s="213"/>
    </row>
    <row r="199" ht="15.75" customHeight="1">
      <c r="A199" s="257"/>
      <c r="B199" s="213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  <c r="S199" s="213"/>
      <c r="T199" s="213"/>
      <c r="U199" s="213"/>
      <c r="V199" s="213"/>
      <c r="W199" s="213"/>
      <c r="X199" s="213"/>
      <c r="Y199" s="213"/>
      <c r="Z199" s="213"/>
      <c r="AA199" s="213"/>
      <c r="AB199" s="213"/>
      <c r="AC199" s="213"/>
      <c r="AD199" s="213"/>
    </row>
    <row r="200" ht="15.75" customHeight="1">
      <c r="A200" s="257"/>
      <c r="B200" s="213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  <c r="AA200" s="213"/>
      <c r="AB200" s="213"/>
      <c r="AC200" s="213"/>
      <c r="AD200" s="213"/>
    </row>
    <row r="201" ht="15.75" customHeight="1">
      <c r="A201" s="257"/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3"/>
      <c r="Z201" s="213"/>
      <c r="AA201" s="213"/>
      <c r="AB201" s="213"/>
      <c r="AC201" s="213"/>
      <c r="AD201" s="213"/>
    </row>
    <row r="202" ht="15.75" customHeight="1">
      <c r="A202" s="257"/>
      <c r="B202" s="213"/>
      <c r="C202" s="213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  <c r="S202" s="213"/>
      <c r="T202" s="213"/>
      <c r="U202" s="213"/>
      <c r="V202" s="213"/>
      <c r="W202" s="213"/>
      <c r="X202" s="213"/>
      <c r="Y202" s="213"/>
      <c r="Z202" s="213"/>
      <c r="AA202" s="213"/>
      <c r="AB202" s="213"/>
      <c r="AC202" s="213"/>
      <c r="AD202" s="213"/>
    </row>
    <row r="203" ht="15.75" customHeight="1">
      <c r="A203" s="257"/>
      <c r="B203" s="213"/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  <c r="AA203" s="213"/>
      <c r="AB203" s="213"/>
      <c r="AC203" s="213"/>
      <c r="AD203" s="213"/>
    </row>
    <row r="204" ht="15.75" customHeight="1">
      <c r="A204" s="257"/>
      <c r="B204" s="213"/>
      <c r="C204" s="213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  <c r="S204" s="213"/>
      <c r="T204" s="213"/>
      <c r="U204" s="213"/>
      <c r="V204" s="213"/>
      <c r="W204" s="213"/>
      <c r="X204" s="213"/>
      <c r="Y204" s="213"/>
      <c r="Z204" s="213"/>
      <c r="AA204" s="213"/>
      <c r="AB204" s="213"/>
      <c r="AC204" s="213"/>
      <c r="AD204" s="213"/>
    </row>
    <row r="205" ht="15.75" customHeight="1">
      <c r="A205" s="257"/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  <c r="S205" s="213"/>
      <c r="T205" s="213"/>
      <c r="U205" s="213"/>
      <c r="V205" s="213"/>
      <c r="W205" s="213"/>
      <c r="X205" s="213"/>
      <c r="Y205" s="213"/>
      <c r="Z205" s="213"/>
      <c r="AA205" s="213"/>
      <c r="AB205" s="213"/>
      <c r="AC205" s="213"/>
      <c r="AD205" s="213"/>
    </row>
    <row r="206" ht="15.75" customHeight="1">
      <c r="A206" s="257"/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  <c r="S206" s="213"/>
      <c r="T206" s="213"/>
      <c r="U206" s="213"/>
      <c r="V206" s="213"/>
      <c r="W206" s="213"/>
      <c r="X206" s="213"/>
      <c r="Y206" s="213"/>
      <c r="Z206" s="213"/>
      <c r="AA206" s="213"/>
      <c r="AB206" s="213"/>
      <c r="AC206" s="213"/>
      <c r="AD206" s="213"/>
    </row>
    <row r="207" ht="15.75" customHeight="1">
      <c r="A207" s="257"/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  <c r="AA207" s="213"/>
      <c r="AB207" s="213"/>
      <c r="AC207" s="213"/>
      <c r="AD207" s="213"/>
    </row>
    <row r="208" ht="15.75" customHeight="1">
      <c r="A208" s="257"/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13"/>
      <c r="T208" s="213"/>
      <c r="U208" s="213"/>
      <c r="V208" s="213"/>
      <c r="W208" s="213"/>
      <c r="X208" s="213"/>
      <c r="Y208" s="213"/>
      <c r="Z208" s="213"/>
      <c r="AA208" s="213"/>
      <c r="AB208" s="213"/>
      <c r="AC208" s="213"/>
      <c r="AD208" s="213"/>
    </row>
    <row r="209" ht="15.75" customHeight="1">
      <c r="A209" s="257"/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13"/>
      <c r="T209" s="213"/>
      <c r="U209" s="213"/>
      <c r="V209" s="213"/>
      <c r="W209" s="213"/>
      <c r="X209" s="213"/>
      <c r="Y209" s="213"/>
      <c r="Z209" s="213"/>
      <c r="AA209" s="213"/>
      <c r="AB209" s="213"/>
      <c r="AC209" s="213"/>
      <c r="AD209" s="213"/>
    </row>
    <row r="210" ht="15.75" customHeight="1">
      <c r="A210" s="257"/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  <c r="AA210" s="213"/>
      <c r="AB210" s="213"/>
      <c r="AC210" s="213"/>
      <c r="AD210" s="213"/>
    </row>
    <row r="211" ht="15.75" customHeight="1">
      <c r="A211" s="257"/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13"/>
      <c r="T211" s="213"/>
      <c r="U211" s="213"/>
      <c r="V211" s="213"/>
      <c r="W211" s="213"/>
      <c r="X211" s="213"/>
      <c r="Y211" s="213"/>
      <c r="Z211" s="213"/>
      <c r="AA211" s="213"/>
      <c r="AB211" s="213"/>
      <c r="AC211" s="213"/>
      <c r="AD211" s="213"/>
    </row>
    <row r="212" ht="15.75" customHeight="1">
      <c r="A212" s="257"/>
      <c r="B212" s="213"/>
      <c r="C212" s="213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  <c r="S212" s="213"/>
      <c r="T212" s="213"/>
      <c r="U212" s="213"/>
      <c r="V212" s="213"/>
      <c r="W212" s="213"/>
      <c r="X212" s="213"/>
      <c r="Y212" s="213"/>
      <c r="Z212" s="213"/>
      <c r="AA212" s="213"/>
      <c r="AB212" s="213"/>
      <c r="AC212" s="213"/>
      <c r="AD212" s="213"/>
    </row>
    <row r="213" ht="15.75" customHeight="1">
      <c r="A213" s="257"/>
      <c r="B213" s="213"/>
      <c r="C213" s="213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  <c r="S213" s="213"/>
      <c r="T213" s="213"/>
      <c r="U213" s="213"/>
      <c r="V213" s="213"/>
      <c r="W213" s="213"/>
      <c r="X213" s="213"/>
      <c r="Y213" s="213"/>
      <c r="Z213" s="213"/>
      <c r="AA213" s="213"/>
      <c r="AB213" s="213"/>
      <c r="AC213" s="213"/>
      <c r="AD213" s="213"/>
    </row>
    <row r="214" ht="15.75" customHeight="1">
      <c r="A214" s="257"/>
      <c r="B214" s="213"/>
      <c r="C214" s="213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  <c r="S214" s="213"/>
      <c r="T214" s="213"/>
      <c r="U214" s="213"/>
      <c r="V214" s="213"/>
      <c r="W214" s="213"/>
      <c r="X214" s="213"/>
      <c r="Y214" s="213"/>
      <c r="Z214" s="213"/>
      <c r="AA214" s="213"/>
      <c r="AB214" s="213"/>
      <c r="AC214" s="213"/>
      <c r="AD214" s="213"/>
    </row>
    <row r="215" ht="15.75" customHeight="1">
      <c r="A215" s="257"/>
      <c r="B215" s="213"/>
      <c r="C215" s="213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213"/>
      <c r="R215" s="213"/>
      <c r="S215" s="213"/>
      <c r="T215" s="213"/>
      <c r="U215" s="213"/>
      <c r="V215" s="213"/>
      <c r="W215" s="213"/>
      <c r="X215" s="213"/>
      <c r="Y215" s="213"/>
      <c r="Z215" s="213"/>
      <c r="AA215" s="213"/>
      <c r="AB215" s="213"/>
      <c r="AC215" s="213"/>
      <c r="AD215" s="213"/>
    </row>
    <row r="216" ht="15.75" customHeight="1">
      <c r="A216" s="257"/>
      <c r="B216" s="213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  <c r="S216" s="213"/>
      <c r="T216" s="213"/>
      <c r="U216" s="213"/>
      <c r="V216" s="213"/>
      <c r="W216" s="213"/>
      <c r="X216" s="213"/>
      <c r="Y216" s="213"/>
      <c r="Z216" s="213"/>
      <c r="AA216" s="213"/>
      <c r="AB216" s="213"/>
      <c r="AC216" s="213"/>
      <c r="AD216" s="213"/>
    </row>
    <row r="217" ht="15.75" customHeight="1">
      <c r="A217" s="257"/>
      <c r="B217" s="213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  <c r="AA217" s="213"/>
      <c r="AB217" s="213"/>
      <c r="AC217" s="213"/>
      <c r="AD217" s="213"/>
    </row>
    <row r="218" ht="15.75" customHeight="1">
      <c r="A218" s="257"/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  <c r="AA218" s="213"/>
      <c r="AB218" s="213"/>
      <c r="AC218" s="213"/>
      <c r="AD218" s="213"/>
    </row>
    <row r="219" ht="15.75" customHeight="1">
      <c r="A219" s="257"/>
      <c r="B219" s="213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3"/>
      <c r="Z219" s="213"/>
      <c r="AA219" s="213"/>
      <c r="AB219" s="213"/>
      <c r="AC219" s="213"/>
      <c r="AD219" s="213"/>
    </row>
    <row r="220" ht="15.75" customHeight="1">
      <c r="A220" s="257"/>
      <c r="B220" s="213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  <c r="S220" s="213"/>
      <c r="T220" s="213"/>
      <c r="U220" s="213"/>
      <c r="V220" s="213"/>
      <c r="W220" s="213"/>
      <c r="X220" s="213"/>
      <c r="Y220" s="213"/>
      <c r="Z220" s="213"/>
      <c r="AA220" s="213"/>
      <c r="AB220" s="213"/>
      <c r="AC220" s="213"/>
      <c r="AD220" s="213"/>
    </row>
    <row r="221" ht="15.75" customHeight="1">
      <c r="A221" s="257"/>
      <c r="B221" s="213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  <c r="S221" s="213"/>
      <c r="T221" s="213"/>
      <c r="U221" s="213"/>
      <c r="V221" s="213"/>
      <c r="W221" s="213"/>
      <c r="X221" s="213"/>
      <c r="Y221" s="213"/>
      <c r="Z221" s="213"/>
      <c r="AA221" s="213"/>
      <c r="AB221" s="213"/>
      <c r="AC221" s="213"/>
      <c r="AD221" s="213"/>
    </row>
    <row r="222" ht="15.75" customHeight="1">
      <c r="A222" s="257"/>
      <c r="B222" s="213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  <c r="S222" s="213"/>
      <c r="T222" s="213"/>
      <c r="U222" s="213"/>
      <c r="V222" s="213"/>
      <c r="W222" s="213"/>
      <c r="X222" s="213"/>
      <c r="Y222" s="213"/>
      <c r="Z222" s="213"/>
      <c r="AA222" s="213"/>
      <c r="AB222" s="213"/>
      <c r="AC222" s="213"/>
      <c r="AD222" s="213"/>
    </row>
    <row r="223" ht="15.75" customHeight="1">
      <c r="A223" s="257"/>
      <c r="B223" s="213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  <c r="S223" s="213"/>
      <c r="T223" s="213"/>
      <c r="U223" s="213"/>
      <c r="V223" s="213"/>
      <c r="W223" s="213"/>
      <c r="X223" s="213"/>
      <c r="Y223" s="213"/>
      <c r="Z223" s="213"/>
      <c r="AA223" s="213"/>
      <c r="AB223" s="213"/>
      <c r="AC223" s="213"/>
      <c r="AD223" s="213"/>
    </row>
    <row r="224" ht="15.75" customHeight="1">
      <c r="A224" s="257"/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  <c r="AA224" s="213"/>
      <c r="AB224" s="213"/>
      <c r="AC224" s="213"/>
      <c r="AD224" s="213"/>
    </row>
    <row r="225" ht="15.75" customHeight="1">
      <c r="A225" s="257"/>
      <c r="B225" s="213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13"/>
      <c r="T225" s="213"/>
      <c r="U225" s="213"/>
      <c r="V225" s="213"/>
      <c r="W225" s="213"/>
      <c r="X225" s="213"/>
      <c r="Y225" s="213"/>
      <c r="Z225" s="213"/>
      <c r="AA225" s="213"/>
      <c r="AB225" s="213"/>
      <c r="AC225" s="213"/>
      <c r="AD225" s="213"/>
    </row>
    <row r="226" ht="15.75" customHeight="1">
      <c r="A226" s="257"/>
      <c r="B226" s="213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13"/>
      <c r="T226" s="213"/>
      <c r="U226" s="213"/>
      <c r="V226" s="213"/>
      <c r="W226" s="213"/>
      <c r="X226" s="213"/>
      <c r="Y226" s="213"/>
      <c r="Z226" s="213"/>
      <c r="AA226" s="213"/>
      <c r="AB226" s="213"/>
      <c r="AC226" s="213"/>
      <c r="AD226" s="213"/>
    </row>
    <row r="227" ht="15.75" customHeight="1">
      <c r="A227" s="257"/>
      <c r="B227" s="213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13"/>
      <c r="T227" s="213"/>
      <c r="U227" s="213"/>
      <c r="V227" s="213"/>
      <c r="W227" s="213"/>
      <c r="X227" s="213"/>
      <c r="Y227" s="213"/>
      <c r="Z227" s="213"/>
      <c r="AA227" s="213"/>
      <c r="AB227" s="213"/>
      <c r="AC227" s="213"/>
      <c r="AD227" s="213"/>
    </row>
    <row r="228" ht="15.75" customHeight="1">
      <c r="A228" s="257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  <c r="Y228" s="213"/>
      <c r="Z228" s="213"/>
      <c r="AA228" s="213"/>
      <c r="AB228" s="213"/>
      <c r="AC228" s="213"/>
      <c r="AD228" s="213"/>
    </row>
    <row r="229" ht="15.75" customHeight="1">
      <c r="A229" s="257"/>
      <c r="B229" s="213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  <c r="T229" s="213"/>
      <c r="U229" s="213"/>
      <c r="V229" s="213"/>
      <c r="W229" s="213"/>
      <c r="X229" s="213"/>
      <c r="Y229" s="213"/>
      <c r="Z229" s="213"/>
      <c r="AA229" s="213"/>
      <c r="AB229" s="213"/>
      <c r="AC229" s="213"/>
      <c r="AD229" s="213"/>
    </row>
    <row r="230" ht="15.75" customHeight="1">
      <c r="A230" s="257"/>
      <c r="B230" s="213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  <c r="T230" s="213"/>
      <c r="U230" s="213"/>
      <c r="V230" s="213"/>
      <c r="W230" s="213"/>
      <c r="X230" s="213"/>
      <c r="Y230" s="213"/>
      <c r="Z230" s="213"/>
      <c r="AA230" s="213"/>
      <c r="AB230" s="213"/>
      <c r="AC230" s="213"/>
      <c r="AD230" s="213"/>
    </row>
    <row r="231" ht="15.75" customHeight="1">
      <c r="A231" s="257"/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  <c r="AA231" s="213"/>
      <c r="AB231" s="213"/>
      <c r="AC231" s="213"/>
      <c r="AD231" s="213"/>
    </row>
    <row r="232" ht="15.75" customHeight="1">
      <c r="A232" s="257"/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  <c r="AA232" s="213"/>
      <c r="AB232" s="213"/>
      <c r="AC232" s="213"/>
      <c r="AD232" s="213"/>
    </row>
    <row r="233" ht="15.75" customHeight="1">
      <c r="A233" s="257"/>
      <c r="B233" s="213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  <c r="S233" s="213"/>
      <c r="T233" s="213"/>
      <c r="U233" s="213"/>
      <c r="V233" s="213"/>
      <c r="W233" s="213"/>
      <c r="X233" s="213"/>
      <c r="Y233" s="213"/>
      <c r="Z233" s="213"/>
      <c r="AA233" s="213"/>
      <c r="AB233" s="213"/>
      <c r="AC233" s="213"/>
      <c r="AD233" s="213"/>
    </row>
    <row r="234" ht="15.75" customHeight="1">
      <c r="A234" s="257"/>
      <c r="B234" s="213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  <c r="S234" s="213"/>
      <c r="T234" s="213"/>
      <c r="U234" s="213"/>
      <c r="V234" s="213"/>
      <c r="W234" s="213"/>
      <c r="X234" s="213"/>
      <c r="Y234" s="213"/>
      <c r="Z234" s="213"/>
      <c r="AA234" s="213"/>
      <c r="AB234" s="213"/>
      <c r="AC234" s="213"/>
      <c r="AD234" s="213"/>
    </row>
    <row r="235" ht="15.75" customHeight="1">
      <c r="A235" s="257"/>
      <c r="B235" s="213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  <c r="S235" s="213"/>
      <c r="T235" s="213"/>
      <c r="U235" s="213"/>
      <c r="V235" s="213"/>
      <c r="W235" s="213"/>
      <c r="X235" s="213"/>
      <c r="Y235" s="213"/>
      <c r="Z235" s="213"/>
      <c r="AA235" s="213"/>
      <c r="AB235" s="213"/>
      <c r="AC235" s="213"/>
      <c r="AD235" s="213"/>
    </row>
    <row r="236" ht="15.75" customHeight="1">
      <c r="A236" s="257"/>
      <c r="B236" s="213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  <c r="AA236" s="213"/>
      <c r="AB236" s="213"/>
      <c r="AC236" s="213"/>
      <c r="AD236" s="213"/>
    </row>
    <row r="237" ht="15.75" customHeight="1">
      <c r="A237" s="257"/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13"/>
      <c r="T237" s="213"/>
      <c r="U237" s="213"/>
      <c r="V237" s="213"/>
      <c r="W237" s="213"/>
      <c r="X237" s="213"/>
      <c r="Y237" s="213"/>
      <c r="Z237" s="213"/>
      <c r="AA237" s="213"/>
      <c r="AB237" s="213"/>
      <c r="AC237" s="213"/>
      <c r="AD237" s="213"/>
    </row>
    <row r="238" ht="15.75" customHeight="1">
      <c r="A238" s="257"/>
      <c r="B238" s="213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  <c r="AA238" s="213"/>
      <c r="AB238" s="213"/>
      <c r="AC238" s="213"/>
      <c r="AD238" s="213"/>
    </row>
    <row r="239" ht="15.75" customHeight="1">
      <c r="A239" s="257"/>
      <c r="B239" s="213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13"/>
      <c r="T239" s="213"/>
      <c r="U239" s="213"/>
      <c r="V239" s="213"/>
      <c r="W239" s="213"/>
      <c r="X239" s="213"/>
      <c r="Y239" s="213"/>
      <c r="Z239" s="213"/>
      <c r="AA239" s="213"/>
      <c r="AB239" s="213"/>
      <c r="AC239" s="213"/>
      <c r="AD239" s="213"/>
    </row>
    <row r="240" ht="15.75" customHeight="1">
      <c r="A240" s="257"/>
      <c r="B240" s="213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  <c r="Y240" s="213"/>
      <c r="Z240" s="213"/>
      <c r="AA240" s="213"/>
      <c r="AB240" s="213"/>
      <c r="AC240" s="213"/>
      <c r="AD240" s="213"/>
    </row>
    <row r="241" ht="15.75" customHeight="1">
      <c r="A241" s="257"/>
      <c r="B241" s="213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  <c r="T241" s="213"/>
      <c r="U241" s="213"/>
      <c r="V241" s="213"/>
      <c r="W241" s="213"/>
      <c r="X241" s="213"/>
      <c r="Y241" s="213"/>
      <c r="Z241" s="213"/>
      <c r="AA241" s="213"/>
      <c r="AB241" s="213"/>
      <c r="AC241" s="213"/>
      <c r="AD241" s="213"/>
    </row>
    <row r="242" ht="15.75" customHeight="1">
      <c r="A242" s="257"/>
      <c r="B242" s="213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3"/>
      <c r="U242" s="213"/>
      <c r="V242" s="213"/>
      <c r="W242" s="213"/>
      <c r="X242" s="213"/>
      <c r="Y242" s="213"/>
      <c r="Z242" s="213"/>
      <c r="AA242" s="213"/>
      <c r="AB242" s="213"/>
      <c r="AC242" s="213"/>
      <c r="AD242" s="213"/>
    </row>
    <row r="243" ht="15.75" customHeight="1">
      <c r="A243" s="257"/>
      <c r="B243" s="213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3"/>
      <c r="V243" s="213"/>
      <c r="W243" s="213"/>
      <c r="X243" s="213"/>
      <c r="Y243" s="213"/>
      <c r="Z243" s="213"/>
      <c r="AA243" s="213"/>
      <c r="AB243" s="213"/>
      <c r="AC243" s="213"/>
      <c r="AD243" s="213"/>
    </row>
    <row r="244" ht="15.75" customHeight="1">
      <c r="A244" s="257"/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3"/>
      <c r="W244" s="213"/>
      <c r="X244" s="213"/>
      <c r="Y244" s="213"/>
      <c r="Z244" s="213"/>
      <c r="AA244" s="213"/>
      <c r="AB244" s="213"/>
      <c r="AC244" s="213"/>
      <c r="AD244" s="213"/>
    </row>
    <row r="245" ht="15.75" customHeight="1">
      <c r="A245" s="257"/>
      <c r="B245" s="213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  <c r="AA245" s="213"/>
      <c r="AB245" s="213"/>
      <c r="AC245" s="213"/>
      <c r="AD245" s="213"/>
    </row>
    <row r="246" ht="15.75" customHeight="1">
      <c r="A246" s="257"/>
      <c r="B246" s="213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3"/>
      <c r="Y246" s="213"/>
      <c r="Z246" s="213"/>
      <c r="AA246" s="213"/>
      <c r="AB246" s="213"/>
      <c r="AC246" s="213"/>
      <c r="AD246" s="213"/>
    </row>
    <row r="247" ht="15.75" customHeight="1">
      <c r="A247" s="257"/>
      <c r="B247" s="213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3"/>
      <c r="Z247" s="213"/>
      <c r="AA247" s="213"/>
      <c r="AB247" s="213"/>
      <c r="AC247" s="213"/>
      <c r="AD247" s="213"/>
    </row>
    <row r="248" ht="15.75" customHeight="1">
      <c r="A248" s="257"/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3"/>
      <c r="AA248" s="213"/>
      <c r="AB248" s="213"/>
      <c r="AC248" s="213"/>
      <c r="AD248" s="213"/>
    </row>
    <row r="249" ht="15.75" customHeight="1">
      <c r="A249" s="257"/>
      <c r="B249" s="213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  <c r="AA249" s="213"/>
      <c r="AB249" s="213"/>
      <c r="AC249" s="213"/>
      <c r="AD249" s="213"/>
    </row>
    <row r="250" ht="15.75" customHeight="1">
      <c r="A250" s="257"/>
      <c r="B250" s="213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  <c r="AA250" s="213"/>
      <c r="AB250" s="213"/>
      <c r="AC250" s="213"/>
      <c r="AD250" s="213"/>
    </row>
    <row r="251" ht="15.75" customHeight="1">
      <c r="A251" s="257"/>
      <c r="B251" s="213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  <c r="AA251" s="213"/>
      <c r="AB251" s="213"/>
      <c r="AC251" s="213"/>
      <c r="AD251" s="213"/>
    </row>
    <row r="252" ht="15.75" customHeight="1">
      <c r="A252" s="257"/>
      <c r="B252" s="213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  <c r="AA252" s="213"/>
      <c r="AB252" s="213"/>
      <c r="AC252" s="213"/>
      <c r="AD252" s="213"/>
    </row>
    <row r="253" ht="15.75" customHeight="1">
      <c r="A253" s="257"/>
      <c r="B253" s="213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  <c r="AA253" s="213"/>
      <c r="AB253" s="213"/>
      <c r="AC253" s="213"/>
      <c r="AD253" s="213"/>
    </row>
    <row r="254" ht="15.75" customHeight="1">
      <c r="A254" s="257"/>
      <c r="B254" s="213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  <c r="AA254" s="213"/>
      <c r="AB254" s="213"/>
      <c r="AC254" s="213"/>
      <c r="AD254" s="213"/>
    </row>
    <row r="255" ht="15.75" customHeight="1">
      <c r="A255" s="257"/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  <c r="AA255" s="213"/>
      <c r="AB255" s="213"/>
      <c r="AC255" s="213"/>
      <c r="AD255" s="213"/>
    </row>
    <row r="256" ht="15.75" customHeight="1">
      <c r="A256" s="257"/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  <c r="AA256" s="213"/>
      <c r="AB256" s="213"/>
      <c r="AC256" s="213"/>
      <c r="AD256" s="213"/>
    </row>
    <row r="257" ht="15.75" customHeight="1">
      <c r="A257" s="257"/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  <c r="AA257" s="213"/>
      <c r="AB257" s="213"/>
      <c r="AC257" s="213"/>
      <c r="AD257" s="213"/>
    </row>
    <row r="258" ht="15.75" customHeight="1">
      <c r="A258" s="257"/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  <c r="AA258" s="213"/>
      <c r="AB258" s="213"/>
      <c r="AC258" s="213"/>
      <c r="AD258" s="213"/>
    </row>
    <row r="259" ht="15.75" customHeight="1">
      <c r="A259" s="257"/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  <c r="AA259" s="213"/>
      <c r="AB259" s="213"/>
      <c r="AC259" s="213"/>
      <c r="AD259" s="213"/>
    </row>
    <row r="260" ht="15.75" customHeight="1">
      <c r="A260" s="257"/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  <c r="AA260" s="213"/>
      <c r="AB260" s="213"/>
      <c r="AC260" s="213"/>
      <c r="AD260" s="213"/>
    </row>
    <row r="261" ht="15.75" customHeight="1">
      <c r="A261" s="257"/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  <c r="AA261" s="213"/>
      <c r="AB261" s="213"/>
      <c r="AC261" s="213"/>
      <c r="AD261" s="213"/>
    </row>
    <row r="262" ht="15.75" customHeight="1">
      <c r="A262" s="257"/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  <c r="AA262" s="213"/>
      <c r="AB262" s="213"/>
      <c r="AC262" s="213"/>
      <c r="AD262" s="213"/>
    </row>
    <row r="263" ht="15.75" customHeight="1">
      <c r="A263" s="257"/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  <c r="AA263" s="213"/>
      <c r="AB263" s="213"/>
      <c r="AC263" s="213"/>
      <c r="AD263" s="213"/>
    </row>
    <row r="264" ht="15.75" customHeight="1">
      <c r="A264" s="257"/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  <c r="AA264" s="213"/>
      <c r="AB264" s="213"/>
      <c r="AC264" s="213"/>
      <c r="AD264" s="213"/>
    </row>
    <row r="265" ht="15.75" customHeight="1">
      <c r="A265" s="257"/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213"/>
      <c r="AA265" s="213"/>
      <c r="AB265" s="213"/>
      <c r="AC265" s="213"/>
      <c r="AD265" s="213"/>
    </row>
    <row r="266" ht="15.75" customHeight="1">
      <c r="A266" s="257"/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  <c r="AA266" s="213"/>
      <c r="AB266" s="213"/>
      <c r="AC266" s="213"/>
      <c r="AD266" s="213"/>
    </row>
    <row r="267" ht="15.75" customHeight="1">
      <c r="A267" s="257"/>
      <c r="B267" s="213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  <c r="S267" s="213"/>
      <c r="T267" s="213"/>
      <c r="U267" s="213"/>
      <c r="V267" s="213"/>
      <c r="W267" s="213"/>
      <c r="X267" s="213"/>
      <c r="Y267" s="213"/>
      <c r="Z267" s="213"/>
      <c r="AA267" s="213"/>
      <c r="AB267" s="213"/>
      <c r="AC267" s="213"/>
      <c r="AD267" s="213"/>
    </row>
    <row r="268" ht="15.75" customHeight="1">
      <c r="A268" s="257"/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  <c r="Z268" s="213"/>
      <c r="AA268" s="213"/>
      <c r="AB268" s="213"/>
      <c r="AC268" s="213"/>
      <c r="AD268" s="213"/>
    </row>
    <row r="269" ht="15.75" customHeight="1">
      <c r="A269" s="257"/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  <c r="Z269" s="213"/>
      <c r="AA269" s="213"/>
      <c r="AB269" s="213"/>
      <c r="AC269" s="213"/>
      <c r="AD269" s="213"/>
    </row>
    <row r="270" ht="15.75" customHeight="1">
      <c r="A270" s="257"/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  <c r="Z270" s="213"/>
      <c r="AA270" s="213"/>
      <c r="AB270" s="213"/>
      <c r="AC270" s="213"/>
      <c r="AD270" s="213"/>
    </row>
    <row r="271" ht="15.75" customHeight="1">
      <c r="A271" s="257"/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213"/>
      <c r="AA271" s="213"/>
      <c r="AB271" s="213"/>
      <c r="AC271" s="213"/>
      <c r="AD271" s="213"/>
    </row>
    <row r="272" ht="15.75" customHeight="1">
      <c r="A272" s="257"/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  <c r="Z272" s="213"/>
      <c r="AA272" s="213"/>
      <c r="AB272" s="213"/>
      <c r="AC272" s="213"/>
      <c r="AD272" s="213"/>
    </row>
    <row r="273" ht="15.75" customHeight="1">
      <c r="A273" s="257"/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  <c r="AA273" s="213"/>
      <c r="AB273" s="213"/>
      <c r="AC273" s="213"/>
      <c r="AD273" s="213"/>
    </row>
    <row r="274" ht="15.75" customHeight="1">
      <c r="A274" s="257"/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  <c r="Z274" s="213"/>
      <c r="AA274" s="213"/>
      <c r="AB274" s="213"/>
      <c r="AC274" s="213"/>
      <c r="AD274" s="213"/>
    </row>
    <row r="275" ht="15.75" customHeight="1">
      <c r="A275" s="257"/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  <c r="Z275" s="213"/>
      <c r="AA275" s="213"/>
      <c r="AB275" s="213"/>
      <c r="AC275" s="213"/>
      <c r="AD275" s="213"/>
    </row>
    <row r="276" ht="15.75" customHeight="1">
      <c r="A276" s="257"/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213"/>
      <c r="AA276" s="213"/>
      <c r="AB276" s="213"/>
      <c r="AC276" s="213"/>
      <c r="AD276" s="213"/>
    </row>
    <row r="277" ht="15.75" customHeight="1">
      <c r="A277" s="257"/>
      <c r="B277" s="213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  <c r="T277" s="213"/>
      <c r="U277" s="213"/>
      <c r="V277" s="213"/>
      <c r="W277" s="213"/>
      <c r="X277" s="213"/>
      <c r="Y277" s="213"/>
      <c r="Z277" s="213"/>
      <c r="AA277" s="213"/>
      <c r="AB277" s="213"/>
      <c r="AC277" s="213"/>
      <c r="AD277" s="213"/>
    </row>
    <row r="278" ht="15.75" customHeight="1">
      <c r="A278" s="257"/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  <c r="Z278" s="213"/>
      <c r="AA278" s="213"/>
      <c r="AB278" s="213"/>
      <c r="AC278" s="213"/>
      <c r="AD278" s="213"/>
    </row>
    <row r="279" ht="15.75" customHeight="1">
      <c r="A279" s="257"/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  <c r="AA279" s="213"/>
      <c r="AB279" s="213"/>
      <c r="AC279" s="213"/>
      <c r="AD279" s="213"/>
    </row>
    <row r="280" ht="15.75" customHeight="1">
      <c r="A280" s="257"/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  <c r="AA280" s="213"/>
      <c r="AB280" s="213"/>
      <c r="AC280" s="213"/>
      <c r="AD280" s="213"/>
    </row>
    <row r="281" ht="15.75" customHeight="1">
      <c r="A281" s="257"/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  <c r="AA281" s="213"/>
      <c r="AB281" s="213"/>
      <c r="AC281" s="213"/>
      <c r="AD281" s="213"/>
    </row>
    <row r="282" ht="15.75" customHeight="1">
      <c r="A282" s="257"/>
      <c r="B282" s="213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  <c r="AA282" s="213"/>
      <c r="AB282" s="213"/>
      <c r="AC282" s="213"/>
      <c r="AD282" s="213"/>
    </row>
    <row r="283" ht="15.75" customHeight="1">
      <c r="A283" s="257"/>
      <c r="B283" s="213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  <c r="AA283" s="213"/>
      <c r="AB283" s="213"/>
      <c r="AC283" s="213"/>
      <c r="AD283" s="213"/>
    </row>
    <row r="284" ht="15.75" customHeight="1">
      <c r="A284" s="257"/>
      <c r="B284" s="213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  <c r="AA284" s="213"/>
      <c r="AB284" s="213"/>
      <c r="AC284" s="213"/>
      <c r="AD284" s="213"/>
    </row>
    <row r="285" ht="15.75" customHeight="1">
      <c r="A285" s="257"/>
      <c r="B285" s="213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  <c r="AA285" s="213"/>
      <c r="AB285" s="213"/>
      <c r="AC285" s="213"/>
      <c r="AD285" s="213"/>
    </row>
    <row r="286" ht="15.75" customHeight="1">
      <c r="A286" s="257"/>
      <c r="B286" s="213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3"/>
      <c r="X286" s="213"/>
      <c r="Y286" s="213"/>
      <c r="Z286" s="213"/>
      <c r="AA286" s="213"/>
      <c r="AB286" s="213"/>
      <c r="AC286" s="213"/>
      <c r="AD286" s="213"/>
    </row>
    <row r="287" ht="15.75" customHeight="1">
      <c r="A287" s="257"/>
      <c r="B287" s="213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  <c r="AA287" s="213"/>
      <c r="AB287" s="213"/>
      <c r="AC287" s="213"/>
      <c r="AD287" s="213"/>
    </row>
    <row r="288" ht="15.75" customHeight="1">
      <c r="A288" s="257"/>
      <c r="B288" s="213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  <c r="AA288" s="213"/>
      <c r="AB288" s="213"/>
      <c r="AC288" s="213"/>
      <c r="AD288" s="213"/>
    </row>
    <row r="289" ht="15.75" customHeight="1">
      <c r="A289" s="257"/>
      <c r="B289" s="213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  <c r="AA289" s="213"/>
      <c r="AB289" s="213"/>
      <c r="AC289" s="213"/>
      <c r="AD289" s="213"/>
    </row>
    <row r="290" ht="15.75" customHeight="1">
      <c r="A290" s="257"/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  <c r="AA290" s="213"/>
      <c r="AB290" s="213"/>
      <c r="AC290" s="213"/>
      <c r="AD290" s="213"/>
    </row>
    <row r="291" ht="15.75" customHeight="1">
      <c r="A291" s="257"/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  <c r="AA291" s="213"/>
      <c r="AB291" s="213"/>
      <c r="AC291" s="213"/>
      <c r="AD291" s="213"/>
    </row>
    <row r="292" ht="15.75" customHeight="1">
      <c r="A292" s="257"/>
      <c r="B292" s="213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  <c r="AA292" s="213"/>
      <c r="AB292" s="213"/>
      <c r="AC292" s="213"/>
      <c r="AD292" s="213"/>
    </row>
    <row r="293" ht="15.75" customHeight="1">
      <c r="A293" s="257"/>
      <c r="B293" s="213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  <c r="AA293" s="213"/>
      <c r="AB293" s="213"/>
      <c r="AC293" s="213"/>
      <c r="AD293" s="213"/>
    </row>
    <row r="294" ht="15.75" customHeight="1">
      <c r="A294" s="257"/>
      <c r="B294" s="213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  <c r="AA294" s="213"/>
      <c r="AB294" s="213"/>
      <c r="AC294" s="213"/>
      <c r="AD294" s="213"/>
    </row>
    <row r="295" ht="15.75" customHeight="1">
      <c r="A295" s="257"/>
      <c r="B295" s="213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  <c r="AA295" s="213"/>
      <c r="AB295" s="213"/>
      <c r="AC295" s="213"/>
      <c r="AD295" s="213"/>
    </row>
    <row r="296" ht="15.75" customHeight="1">
      <c r="A296" s="257"/>
      <c r="B296" s="213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  <c r="AA296" s="213"/>
      <c r="AB296" s="213"/>
      <c r="AC296" s="213"/>
      <c r="AD296" s="213"/>
    </row>
    <row r="297" ht="15.75" customHeight="1">
      <c r="A297" s="257"/>
      <c r="B297" s="213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  <c r="AA297" s="213"/>
      <c r="AB297" s="213"/>
      <c r="AC297" s="213"/>
      <c r="AD297" s="213"/>
    </row>
    <row r="298" ht="15.75" customHeight="1">
      <c r="A298" s="257"/>
      <c r="B298" s="213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  <c r="AA298" s="213"/>
      <c r="AB298" s="213"/>
      <c r="AC298" s="213"/>
      <c r="AD298" s="213"/>
    </row>
    <row r="299" ht="15.75" customHeight="1">
      <c r="A299" s="257"/>
      <c r="B299" s="213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  <c r="AA299" s="213"/>
      <c r="AB299" s="213"/>
      <c r="AC299" s="213"/>
      <c r="AD299" s="213"/>
    </row>
    <row r="300" ht="15.75" customHeight="1">
      <c r="A300" s="257"/>
      <c r="B300" s="213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  <c r="AA300" s="213"/>
      <c r="AB300" s="213"/>
      <c r="AC300" s="213"/>
      <c r="AD300" s="213"/>
    </row>
    <row r="301" ht="15.75" customHeight="1">
      <c r="A301" s="257"/>
      <c r="B301" s="213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  <c r="AA301" s="213"/>
      <c r="AB301" s="213"/>
      <c r="AC301" s="213"/>
      <c r="AD301" s="213"/>
    </row>
    <row r="302" ht="15.75" customHeight="1">
      <c r="A302" s="257"/>
      <c r="B302" s="213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  <c r="AA302" s="213"/>
      <c r="AB302" s="213"/>
      <c r="AC302" s="213"/>
      <c r="AD302" s="213"/>
    </row>
    <row r="303" ht="15.75" customHeight="1">
      <c r="A303" s="257"/>
      <c r="B303" s="213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  <c r="AA303" s="213"/>
      <c r="AB303" s="213"/>
      <c r="AC303" s="213"/>
      <c r="AD303" s="213"/>
    </row>
    <row r="304" ht="15.75" customHeight="1">
      <c r="A304" s="257"/>
      <c r="B304" s="213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  <c r="AA304" s="213"/>
      <c r="AB304" s="213"/>
      <c r="AC304" s="213"/>
      <c r="AD304" s="213"/>
    </row>
    <row r="305" ht="15.75" customHeight="1">
      <c r="A305" s="257"/>
      <c r="B305" s="213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  <c r="AA305" s="213"/>
      <c r="AB305" s="213"/>
      <c r="AC305" s="213"/>
      <c r="AD305" s="213"/>
    </row>
    <row r="306" ht="15.75" customHeight="1">
      <c r="A306" s="257"/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  <c r="AA306" s="213"/>
      <c r="AB306" s="213"/>
      <c r="AC306" s="213"/>
      <c r="AD306" s="213"/>
    </row>
    <row r="307" ht="15.75" customHeight="1">
      <c r="A307" s="257"/>
      <c r="B307" s="213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  <c r="AA307" s="213"/>
      <c r="AB307" s="213"/>
      <c r="AC307" s="213"/>
      <c r="AD307" s="213"/>
    </row>
    <row r="308" ht="15.75" customHeight="1">
      <c r="A308" s="257"/>
      <c r="B308" s="213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  <c r="AA308" s="213"/>
      <c r="AB308" s="213"/>
      <c r="AC308" s="213"/>
      <c r="AD308" s="213"/>
    </row>
    <row r="309" ht="15.75" customHeight="1">
      <c r="A309" s="257"/>
      <c r="B309" s="213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  <c r="AA309" s="213"/>
      <c r="AB309" s="213"/>
      <c r="AC309" s="213"/>
      <c r="AD309" s="213"/>
    </row>
    <row r="310" ht="15.75" customHeight="1">
      <c r="A310" s="257"/>
      <c r="B310" s="213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  <c r="AA310" s="213"/>
      <c r="AB310" s="213"/>
      <c r="AC310" s="213"/>
      <c r="AD310" s="213"/>
    </row>
    <row r="311" ht="15.75" customHeight="1">
      <c r="A311" s="257"/>
      <c r="B311" s="213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  <c r="AA311" s="213"/>
      <c r="AB311" s="213"/>
      <c r="AC311" s="213"/>
      <c r="AD311" s="213"/>
    </row>
    <row r="312" ht="15.75" customHeight="1">
      <c r="A312" s="257"/>
      <c r="B312" s="213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  <c r="AA312" s="213"/>
      <c r="AB312" s="213"/>
      <c r="AC312" s="213"/>
      <c r="AD312" s="213"/>
    </row>
    <row r="313" ht="15.75" customHeight="1">
      <c r="A313" s="257"/>
      <c r="B313" s="213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  <c r="AA313" s="213"/>
      <c r="AB313" s="213"/>
      <c r="AC313" s="213"/>
      <c r="AD313" s="213"/>
    </row>
    <row r="314" ht="15.75" customHeight="1">
      <c r="A314" s="257"/>
      <c r="B314" s="213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  <c r="AA314" s="213"/>
      <c r="AB314" s="213"/>
      <c r="AC314" s="213"/>
      <c r="AD314" s="213"/>
    </row>
    <row r="315" ht="15.75" customHeight="1">
      <c r="A315" s="257"/>
      <c r="B315" s="213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  <c r="AA315" s="213"/>
      <c r="AB315" s="213"/>
      <c r="AC315" s="213"/>
      <c r="AD315" s="213"/>
    </row>
    <row r="316" ht="15.75" customHeight="1">
      <c r="A316" s="257"/>
      <c r="B316" s="213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  <c r="AA316" s="213"/>
      <c r="AB316" s="213"/>
      <c r="AC316" s="213"/>
      <c r="AD316" s="213"/>
    </row>
    <row r="317" ht="15.75" customHeight="1">
      <c r="A317" s="257"/>
      <c r="B317" s="213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  <c r="AA317" s="213"/>
      <c r="AB317" s="213"/>
      <c r="AC317" s="213"/>
      <c r="AD317" s="213"/>
    </row>
    <row r="318" ht="15.75" customHeight="1">
      <c r="A318" s="257"/>
      <c r="B318" s="213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  <c r="AA318" s="213"/>
      <c r="AB318" s="213"/>
      <c r="AC318" s="213"/>
      <c r="AD318" s="213"/>
    </row>
    <row r="319" ht="15.75" customHeight="1">
      <c r="A319" s="257"/>
      <c r="B319" s="213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  <c r="AA319" s="213"/>
      <c r="AB319" s="213"/>
      <c r="AC319" s="213"/>
      <c r="AD319" s="213"/>
    </row>
    <row r="320" ht="15.75" customHeight="1">
      <c r="A320" s="257"/>
      <c r="B320" s="213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  <c r="AA320" s="213"/>
      <c r="AB320" s="213"/>
      <c r="AC320" s="213"/>
      <c r="AD320" s="213"/>
    </row>
    <row r="321" ht="15.75" customHeight="1">
      <c r="A321" s="257"/>
      <c r="B321" s="213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  <c r="AA321" s="213"/>
      <c r="AB321" s="213"/>
      <c r="AC321" s="213"/>
      <c r="AD321" s="213"/>
    </row>
    <row r="322" ht="15.75" customHeight="1">
      <c r="A322" s="257"/>
      <c r="B322" s="213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  <c r="AA322" s="213"/>
      <c r="AB322" s="213"/>
      <c r="AC322" s="213"/>
      <c r="AD322" s="213"/>
    </row>
    <row r="323" ht="15.75" customHeight="1">
      <c r="A323" s="257"/>
      <c r="B323" s="213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  <c r="AA323" s="213"/>
      <c r="AB323" s="213"/>
      <c r="AC323" s="213"/>
      <c r="AD323" s="213"/>
    </row>
    <row r="324" ht="15.75" customHeight="1">
      <c r="A324" s="257"/>
      <c r="B324" s="213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  <c r="AA324" s="213"/>
      <c r="AB324" s="213"/>
      <c r="AC324" s="213"/>
      <c r="AD324" s="213"/>
    </row>
    <row r="325" ht="15.75" customHeight="1">
      <c r="A325" s="257"/>
      <c r="B325" s="213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  <c r="AA325" s="213"/>
      <c r="AB325" s="213"/>
      <c r="AC325" s="213"/>
      <c r="AD325" s="213"/>
    </row>
    <row r="326" ht="15.75" customHeight="1">
      <c r="A326" s="257"/>
      <c r="B326" s="213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  <c r="AA326" s="213"/>
      <c r="AB326" s="213"/>
      <c r="AC326" s="213"/>
      <c r="AD326" s="213"/>
    </row>
    <row r="327" ht="15.75" customHeight="1">
      <c r="A327" s="257"/>
      <c r="B327" s="213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  <c r="AA327" s="213"/>
      <c r="AB327" s="213"/>
      <c r="AC327" s="213"/>
      <c r="AD327" s="213"/>
    </row>
    <row r="328" ht="15.75" customHeight="1">
      <c r="A328" s="257"/>
      <c r="B328" s="213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  <c r="AA328" s="213"/>
      <c r="AB328" s="213"/>
      <c r="AC328" s="213"/>
      <c r="AD328" s="213"/>
    </row>
    <row r="329" ht="15.75" customHeight="1">
      <c r="A329" s="257"/>
      <c r="B329" s="213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  <c r="AA329" s="213"/>
      <c r="AB329" s="213"/>
      <c r="AC329" s="213"/>
      <c r="AD329" s="213"/>
    </row>
    <row r="330" ht="15.75" customHeight="1">
      <c r="A330" s="257"/>
      <c r="B330" s="213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  <c r="AA330" s="213"/>
      <c r="AB330" s="213"/>
      <c r="AC330" s="213"/>
      <c r="AD330" s="213"/>
    </row>
    <row r="331" ht="15.75" customHeight="1">
      <c r="A331" s="257"/>
      <c r="B331" s="213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  <c r="AA331" s="213"/>
      <c r="AB331" s="213"/>
      <c r="AC331" s="213"/>
      <c r="AD331" s="213"/>
    </row>
    <row r="332" ht="15.75" customHeight="1">
      <c r="A332" s="257"/>
      <c r="B332" s="213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  <c r="AA332" s="213"/>
      <c r="AB332" s="213"/>
      <c r="AC332" s="213"/>
      <c r="AD332" s="213"/>
    </row>
    <row r="333" ht="15.75" customHeight="1">
      <c r="A333" s="257"/>
      <c r="B333" s="213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  <c r="AA333" s="213"/>
      <c r="AB333" s="213"/>
      <c r="AC333" s="213"/>
      <c r="AD333" s="213"/>
    </row>
    <row r="334" ht="15.75" customHeight="1">
      <c r="A334" s="257"/>
      <c r="B334" s="213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  <c r="AA334" s="213"/>
      <c r="AB334" s="213"/>
      <c r="AC334" s="213"/>
      <c r="AD334" s="213"/>
    </row>
    <row r="335" ht="15.75" customHeight="1">
      <c r="A335" s="257"/>
      <c r="B335" s="213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  <c r="AA335" s="213"/>
      <c r="AB335" s="213"/>
      <c r="AC335" s="213"/>
      <c r="AD335" s="213"/>
    </row>
    <row r="336" ht="15.75" customHeight="1">
      <c r="A336" s="257"/>
      <c r="B336" s="213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  <c r="AA336" s="213"/>
      <c r="AB336" s="213"/>
      <c r="AC336" s="213"/>
      <c r="AD336" s="213"/>
    </row>
    <row r="337" ht="15.75" customHeight="1">
      <c r="A337" s="257"/>
      <c r="B337" s="213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  <c r="AA337" s="213"/>
      <c r="AB337" s="213"/>
      <c r="AC337" s="213"/>
      <c r="AD337" s="213"/>
    </row>
    <row r="338" ht="15.75" customHeight="1">
      <c r="A338" s="257"/>
      <c r="B338" s="213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  <c r="AA338" s="213"/>
      <c r="AB338" s="213"/>
      <c r="AC338" s="213"/>
      <c r="AD338" s="213"/>
    </row>
    <row r="339" ht="15.75" customHeight="1">
      <c r="A339" s="257"/>
      <c r="B339" s="213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  <c r="AA339" s="213"/>
      <c r="AB339" s="213"/>
      <c r="AC339" s="213"/>
      <c r="AD339" s="213"/>
    </row>
    <row r="340" ht="15.75" customHeight="1">
      <c r="A340" s="257"/>
      <c r="B340" s="213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  <c r="AA340" s="213"/>
      <c r="AB340" s="213"/>
      <c r="AC340" s="213"/>
      <c r="AD340" s="213"/>
    </row>
    <row r="341" ht="15.75" customHeight="1">
      <c r="A341" s="257"/>
      <c r="B341" s="213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  <c r="AA341" s="213"/>
      <c r="AB341" s="213"/>
      <c r="AC341" s="213"/>
      <c r="AD341" s="213"/>
    </row>
    <row r="342" ht="15.75" customHeight="1">
      <c r="A342" s="257"/>
      <c r="B342" s="213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  <c r="AA342" s="213"/>
      <c r="AB342" s="213"/>
      <c r="AC342" s="213"/>
      <c r="AD342" s="213"/>
    </row>
    <row r="343" ht="15.75" customHeight="1">
      <c r="A343" s="257"/>
      <c r="B343" s="213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  <c r="AA343" s="213"/>
      <c r="AB343" s="213"/>
      <c r="AC343" s="213"/>
      <c r="AD343" s="213"/>
    </row>
    <row r="344" ht="15.75" customHeight="1">
      <c r="A344" s="257"/>
      <c r="B344" s="213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  <c r="AA344" s="213"/>
      <c r="AB344" s="213"/>
      <c r="AC344" s="213"/>
      <c r="AD344" s="213"/>
    </row>
    <row r="345" ht="15.75" customHeight="1">
      <c r="A345" s="257"/>
      <c r="B345" s="213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  <c r="AA345" s="213"/>
      <c r="AB345" s="213"/>
      <c r="AC345" s="213"/>
      <c r="AD345" s="213"/>
    </row>
    <row r="346" ht="15.75" customHeight="1">
      <c r="A346" s="257"/>
      <c r="B346" s="213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  <c r="AA346" s="213"/>
      <c r="AB346" s="213"/>
      <c r="AC346" s="213"/>
      <c r="AD346" s="213"/>
    </row>
    <row r="347" ht="15.75" customHeight="1">
      <c r="A347" s="257"/>
      <c r="B347" s="213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  <c r="AA347" s="213"/>
      <c r="AB347" s="213"/>
      <c r="AC347" s="213"/>
      <c r="AD347" s="213"/>
    </row>
    <row r="348" ht="15.75" customHeight="1">
      <c r="A348" s="257"/>
      <c r="B348" s="213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  <c r="AA348" s="213"/>
      <c r="AB348" s="213"/>
      <c r="AC348" s="213"/>
      <c r="AD348" s="213"/>
    </row>
    <row r="349" ht="15.75" customHeight="1">
      <c r="A349" s="257"/>
      <c r="B349" s="213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  <c r="AA349" s="213"/>
      <c r="AB349" s="213"/>
      <c r="AC349" s="213"/>
      <c r="AD349" s="213"/>
    </row>
    <row r="350" ht="15.75" customHeight="1">
      <c r="A350" s="257"/>
      <c r="B350" s="213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  <c r="AA350" s="213"/>
      <c r="AB350" s="213"/>
      <c r="AC350" s="213"/>
      <c r="AD350" s="213"/>
    </row>
    <row r="351" ht="15.75" customHeight="1">
      <c r="A351" s="257"/>
      <c r="B351" s="213"/>
      <c r="C351" s="213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13"/>
      <c r="S351" s="213"/>
      <c r="T351" s="213"/>
      <c r="U351" s="213"/>
      <c r="V351" s="213"/>
      <c r="W351" s="213"/>
      <c r="X351" s="213"/>
      <c r="Y351" s="213"/>
      <c r="Z351" s="213"/>
      <c r="AA351" s="213"/>
      <c r="AB351" s="213"/>
      <c r="AC351" s="213"/>
      <c r="AD351" s="213"/>
    </row>
    <row r="352" ht="15.75" customHeight="1">
      <c r="A352" s="257"/>
      <c r="B352" s="213"/>
      <c r="C352" s="213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  <c r="AA352" s="213"/>
      <c r="AB352" s="213"/>
      <c r="AC352" s="213"/>
      <c r="AD352" s="213"/>
    </row>
    <row r="353" ht="15.75" customHeight="1">
      <c r="A353" s="257"/>
      <c r="B353" s="213"/>
      <c r="C353" s="213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  <c r="S353" s="213"/>
      <c r="T353" s="213"/>
      <c r="U353" s="213"/>
      <c r="V353" s="213"/>
      <c r="W353" s="213"/>
      <c r="X353" s="213"/>
      <c r="Y353" s="213"/>
      <c r="Z353" s="213"/>
      <c r="AA353" s="213"/>
      <c r="AB353" s="213"/>
      <c r="AC353" s="213"/>
      <c r="AD353" s="213"/>
    </row>
    <row r="354" ht="15.75" customHeight="1">
      <c r="A354" s="257"/>
      <c r="B354" s="213"/>
      <c r="C354" s="213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13"/>
      <c r="T354" s="213"/>
      <c r="U354" s="213"/>
      <c r="V354" s="213"/>
      <c r="W354" s="213"/>
      <c r="X354" s="213"/>
      <c r="Y354" s="213"/>
      <c r="Z354" s="213"/>
      <c r="AA354" s="213"/>
      <c r="AB354" s="213"/>
      <c r="AC354" s="213"/>
      <c r="AD354" s="213"/>
    </row>
    <row r="355" ht="15.75" customHeight="1">
      <c r="A355" s="257"/>
      <c r="B355" s="213"/>
      <c r="C355" s="213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  <c r="AA355" s="213"/>
      <c r="AB355" s="213"/>
      <c r="AC355" s="213"/>
      <c r="AD355" s="213"/>
    </row>
    <row r="356" ht="15.75" customHeight="1">
      <c r="A356" s="257"/>
      <c r="B356" s="213"/>
      <c r="C356" s="213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13"/>
      <c r="T356" s="213"/>
      <c r="U356" s="213"/>
      <c r="V356" s="213"/>
      <c r="W356" s="213"/>
      <c r="X356" s="213"/>
      <c r="Y356" s="213"/>
      <c r="Z356" s="213"/>
      <c r="AA356" s="213"/>
      <c r="AB356" s="213"/>
      <c r="AC356" s="213"/>
      <c r="AD356" s="213"/>
    </row>
    <row r="357" ht="15.75" customHeight="1">
      <c r="A357" s="257"/>
      <c r="B357" s="213"/>
      <c r="C357" s="213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  <c r="AA357" s="213"/>
      <c r="AB357" s="213"/>
      <c r="AC357" s="213"/>
      <c r="AD357" s="213"/>
    </row>
    <row r="358" ht="15.75" customHeight="1">
      <c r="A358" s="257"/>
      <c r="B358" s="213"/>
      <c r="C358" s="213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13"/>
      <c r="T358" s="213"/>
      <c r="U358" s="213"/>
      <c r="V358" s="213"/>
      <c r="W358" s="213"/>
      <c r="X358" s="213"/>
      <c r="Y358" s="213"/>
      <c r="Z358" s="213"/>
      <c r="AA358" s="213"/>
      <c r="AB358" s="213"/>
      <c r="AC358" s="213"/>
      <c r="AD358" s="213"/>
    </row>
    <row r="359" ht="15.75" customHeight="1">
      <c r="A359" s="257"/>
      <c r="B359" s="213"/>
      <c r="C359" s="213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13"/>
      <c r="T359" s="213"/>
      <c r="U359" s="213"/>
      <c r="V359" s="213"/>
      <c r="W359" s="213"/>
      <c r="X359" s="213"/>
      <c r="Y359" s="213"/>
      <c r="Z359" s="213"/>
      <c r="AA359" s="213"/>
      <c r="AB359" s="213"/>
      <c r="AC359" s="213"/>
      <c r="AD359" s="213"/>
    </row>
    <row r="360" ht="15.75" customHeight="1">
      <c r="A360" s="257"/>
      <c r="B360" s="213"/>
      <c r="C360" s="213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  <c r="S360" s="213"/>
      <c r="T360" s="213"/>
      <c r="U360" s="213"/>
      <c r="V360" s="213"/>
      <c r="W360" s="213"/>
      <c r="X360" s="213"/>
      <c r="Y360" s="213"/>
      <c r="Z360" s="213"/>
      <c r="AA360" s="213"/>
      <c r="AB360" s="213"/>
      <c r="AC360" s="213"/>
      <c r="AD360" s="213"/>
    </row>
    <row r="361" ht="15.75" customHeight="1">
      <c r="A361" s="257"/>
      <c r="B361" s="213"/>
      <c r="C361" s="213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  <c r="S361" s="213"/>
      <c r="T361" s="213"/>
      <c r="U361" s="213"/>
      <c r="V361" s="213"/>
      <c r="W361" s="213"/>
      <c r="X361" s="213"/>
      <c r="Y361" s="213"/>
      <c r="Z361" s="213"/>
      <c r="AA361" s="213"/>
      <c r="AB361" s="213"/>
      <c r="AC361" s="213"/>
      <c r="AD361" s="213"/>
    </row>
    <row r="362" ht="15.75" customHeight="1">
      <c r="A362" s="257"/>
      <c r="B362" s="213"/>
      <c r="C362" s="213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  <c r="Q362" s="213"/>
      <c r="R362" s="213"/>
      <c r="S362" s="213"/>
      <c r="T362" s="213"/>
      <c r="U362" s="213"/>
      <c r="V362" s="213"/>
      <c r="W362" s="213"/>
      <c r="X362" s="213"/>
      <c r="Y362" s="213"/>
      <c r="Z362" s="213"/>
      <c r="AA362" s="213"/>
      <c r="AB362" s="213"/>
      <c r="AC362" s="213"/>
      <c r="AD362" s="213"/>
    </row>
    <row r="363" ht="15.75" customHeight="1">
      <c r="A363" s="257"/>
      <c r="B363" s="213"/>
      <c r="C363" s="213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  <c r="AA363" s="213"/>
      <c r="AB363" s="213"/>
      <c r="AC363" s="213"/>
      <c r="AD363" s="213"/>
    </row>
    <row r="364" ht="15.75" customHeight="1">
      <c r="A364" s="257"/>
      <c r="B364" s="213"/>
      <c r="C364" s="213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  <c r="AA364" s="213"/>
      <c r="AB364" s="213"/>
      <c r="AC364" s="213"/>
      <c r="AD364" s="213"/>
    </row>
    <row r="365" ht="15.75" customHeight="1">
      <c r="A365" s="257"/>
      <c r="B365" s="213"/>
      <c r="C365" s="213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13"/>
      <c r="S365" s="213"/>
      <c r="T365" s="213"/>
      <c r="U365" s="213"/>
      <c r="V365" s="213"/>
      <c r="W365" s="213"/>
      <c r="X365" s="213"/>
      <c r="Y365" s="213"/>
      <c r="Z365" s="213"/>
      <c r="AA365" s="213"/>
      <c r="AB365" s="213"/>
      <c r="AC365" s="213"/>
      <c r="AD365" s="213"/>
    </row>
    <row r="366" ht="15.75" customHeight="1">
      <c r="A366" s="257"/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  <c r="S366" s="213"/>
      <c r="T366" s="213"/>
      <c r="U366" s="213"/>
      <c r="V366" s="213"/>
      <c r="W366" s="213"/>
      <c r="X366" s="213"/>
      <c r="Y366" s="213"/>
      <c r="Z366" s="213"/>
      <c r="AA366" s="213"/>
      <c r="AB366" s="213"/>
      <c r="AC366" s="213"/>
      <c r="AD366" s="213"/>
    </row>
    <row r="367" ht="15.75" customHeight="1">
      <c r="A367" s="257"/>
      <c r="B367" s="213"/>
      <c r="C367" s="213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  <c r="AA367" s="213"/>
      <c r="AB367" s="213"/>
      <c r="AC367" s="213"/>
      <c r="AD367" s="213"/>
    </row>
    <row r="368" ht="15.75" customHeight="1">
      <c r="A368" s="257"/>
      <c r="B368" s="213"/>
      <c r="C368" s="213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  <c r="S368" s="213"/>
      <c r="T368" s="213"/>
      <c r="U368" s="213"/>
      <c r="V368" s="213"/>
      <c r="W368" s="213"/>
      <c r="X368" s="213"/>
      <c r="Y368" s="213"/>
      <c r="Z368" s="213"/>
      <c r="AA368" s="213"/>
      <c r="AB368" s="213"/>
      <c r="AC368" s="213"/>
      <c r="AD368" s="213"/>
    </row>
    <row r="369" ht="15.75" customHeight="1">
      <c r="A369" s="257"/>
      <c r="B369" s="213"/>
      <c r="C369" s="213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  <c r="S369" s="213"/>
      <c r="T369" s="213"/>
      <c r="U369" s="213"/>
      <c r="V369" s="213"/>
      <c r="W369" s="213"/>
      <c r="X369" s="213"/>
      <c r="Y369" s="213"/>
      <c r="Z369" s="213"/>
      <c r="AA369" s="213"/>
      <c r="AB369" s="213"/>
      <c r="AC369" s="213"/>
      <c r="AD369" s="213"/>
    </row>
    <row r="370" ht="15.75" customHeight="1">
      <c r="A370" s="257"/>
      <c r="B370" s="213"/>
      <c r="C370" s="213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  <c r="S370" s="213"/>
      <c r="T370" s="213"/>
      <c r="U370" s="213"/>
      <c r="V370" s="213"/>
      <c r="W370" s="213"/>
      <c r="X370" s="213"/>
      <c r="Y370" s="213"/>
      <c r="Z370" s="213"/>
      <c r="AA370" s="213"/>
      <c r="AB370" s="213"/>
      <c r="AC370" s="213"/>
      <c r="AD370" s="213"/>
    </row>
    <row r="371" ht="15.75" customHeight="1">
      <c r="A371" s="257"/>
      <c r="B371" s="213"/>
      <c r="C371" s="213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  <c r="AA371" s="213"/>
      <c r="AB371" s="213"/>
      <c r="AC371" s="213"/>
      <c r="AD371" s="213"/>
    </row>
    <row r="372" ht="15.75" customHeight="1">
      <c r="A372" s="257"/>
      <c r="B372" s="213"/>
      <c r="C372" s="213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  <c r="S372" s="213"/>
      <c r="T372" s="213"/>
      <c r="U372" s="213"/>
      <c r="V372" s="213"/>
      <c r="W372" s="213"/>
      <c r="X372" s="213"/>
      <c r="Y372" s="213"/>
      <c r="Z372" s="213"/>
      <c r="AA372" s="213"/>
      <c r="AB372" s="213"/>
      <c r="AC372" s="213"/>
      <c r="AD372" s="213"/>
    </row>
    <row r="373" ht="15.75" customHeight="1">
      <c r="A373" s="257"/>
      <c r="B373" s="213"/>
      <c r="C373" s="213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  <c r="S373" s="213"/>
      <c r="T373" s="213"/>
      <c r="U373" s="213"/>
      <c r="V373" s="213"/>
      <c r="W373" s="213"/>
      <c r="X373" s="213"/>
      <c r="Y373" s="213"/>
      <c r="Z373" s="213"/>
      <c r="AA373" s="213"/>
      <c r="AB373" s="213"/>
      <c r="AC373" s="213"/>
      <c r="AD373" s="213"/>
    </row>
    <row r="374" ht="15.75" customHeight="1">
      <c r="A374" s="257"/>
      <c r="B374" s="213"/>
      <c r="C374" s="213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  <c r="S374" s="213"/>
      <c r="T374" s="213"/>
      <c r="U374" s="213"/>
      <c r="V374" s="213"/>
      <c r="W374" s="213"/>
      <c r="X374" s="213"/>
      <c r="Y374" s="213"/>
      <c r="Z374" s="213"/>
      <c r="AA374" s="213"/>
      <c r="AB374" s="213"/>
      <c r="AC374" s="213"/>
      <c r="AD374" s="213"/>
    </row>
    <row r="375" ht="15.75" customHeight="1">
      <c r="A375" s="257"/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13"/>
      <c r="T375" s="213"/>
      <c r="U375" s="213"/>
      <c r="V375" s="213"/>
      <c r="W375" s="213"/>
      <c r="X375" s="213"/>
      <c r="Y375" s="213"/>
      <c r="Z375" s="213"/>
      <c r="AA375" s="213"/>
      <c r="AB375" s="213"/>
      <c r="AC375" s="213"/>
      <c r="AD375" s="213"/>
    </row>
    <row r="376" ht="15.75" customHeight="1">
      <c r="A376" s="257"/>
      <c r="B376" s="213"/>
      <c r="C376" s="213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213"/>
      <c r="R376" s="213"/>
      <c r="S376" s="213"/>
      <c r="T376" s="213"/>
      <c r="U376" s="213"/>
      <c r="V376" s="213"/>
      <c r="W376" s="213"/>
      <c r="X376" s="213"/>
      <c r="Y376" s="213"/>
      <c r="Z376" s="213"/>
      <c r="AA376" s="213"/>
      <c r="AB376" s="213"/>
      <c r="AC376" s="213"/>
      <c r="AD376" s="213"/>
    </row>
    <row r="377" ht="15.75" customHeight="1">
      <c r="A377" s="257"/>
      <c r="B377" s="213"/>
      <c r="C377" s="213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  <c r="S377" s="213"/>
      <c r="T377" s="213"/>
      <c r="U377" s="213"/>
      <c r="V377" s="213"/>
      <c r="W377" s="213"/>
      <c r="X377" s="213"/>
      <c r="Y377" s="213"/>
      <c r="Z377" s="213"/>
      <c r="AA377" s="213"/>
      <c r="AB377" s="213"/>
      <c r="AC377" s="213"/>
      <c r="AD377" s="213"/>
    </row>
    <row r="378" ht="15.75" customHeight="1">
      <c r="A378" s="257"/>
      <c r="B378" s="213"/>
      <c r="C378" s="213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  <c r="AA378" s="213"/>
      <c r="AB378" s="213"/>
      <c r="AC378" s="213"/>
      <c r="AD378" s="213"/>
    </row>
    <row r="379" ht="15.75" customHeight="1">
      <c r="A379" s="257"/>
      <c r="B379" s="213"/>
      <c r="C379" s="213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  <c r="S379" s="213"/>
      <c r="T379" s="213"/>
      <c r="U379" s="213"/>
      <c r="V379" s="213"/>
      <c r="W379" s="213"/>
      <c r="X379" s="213"/>
      <c r="Y379" s="213"/>
      <c r="Z379" s="213"/>
      <c r="AA379" s="213"/>
      <c r="AB379" s="213"/>
      <c r="AC379" s="213"/>
      <c r="AD379" s="213"/>
    </row>
    <row r="380" ht="15.75" customHeight="1">
      <c r="A380" s="257"/>
      <c r="B380" s="213"/>
      <c r="C380" s="213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  <c r="S380" s="213"/>
      <c r="T380" s="213"/>
      <c r="U380" s="213"/>
      <c r="V380" s="213"/>
      <c r="W380" s="213"/>
      <c r="X380" s="213"/>
      <c r="Y380" s="213"/>
      <c r="Z380" s="213"/>
      <c r="AA380" s="213"/>
      <c r="AB380" s="213"/>
      <c r="AC380" s="213"/>
      <c r="AD380" s="213"/>
    </row>
    <row r="381" ht="15.75" customHeight="1">
      <c r="A381" s="257"/>
      <c r="B381" s="213"/>
      <c r="C381" s="213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  <c r="S381" s="213"/>
      <c r="T381" s="213"/>
      <c r="U381" s="213"/>
      <c r="V381" s="213"/>
      <c r="W381" s="213"/>
      <c r="X381" s="213"/>
      <c r="Y381" s="213"/>
      <c r="Z381" s="213"/>
      <c r="AA381" s="213"/>
      <c r="AB381" s="213"/>
      <c r="AC381" s="213"/>
      <c r="AD381" s="213"/>
    </row>
    <row r="382" ht="15.75" customHeight="1">
      <c r="A382" s="257"/>
      <c r="B382" s="213"/>
      <c r="C382" s="213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  <c r="S382" s="213"/>
      <c r="T382" s="213"/>
      <c r="U382" s="213"/>
      <c r="V382" s="213"/>
      <c r="W382" s="213"/>
      <c r="X382" s="213"/>
      <c r="Y382" s="213"/>
      <c r="Z382" s="213"/>
      <c r="AA382" s="213"/>
      <c r="AB382" s="213"/>
      <c r="AC382" s="213"/>
      <c r="AD382" s="213"/>
    </row>
    <row r="383" ht="15.75" customHeight="1">
      <c r="A383" s="257"/>
      <c r="B383" s="213"/>
      <c r="C383" s="213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  <c r="S383" s="213"/>
      <c r="T383" s="213"/>
      <c r="U383" s="213"/>
      <c r="V383" s="213"/>
      <c r="W383" s="213"/>
      <c r="X383" s="213"/>
      <c r="Y383" s="213"/>
      <c r="Z383" s="213"/>
      <c r="AA383" s="213"/>
      <c r="AB383" s="213"/>
      <c r="AC383" s="213"/>
      <c r="AD383" s="213"/>
    </row>
    <row r="384" ht="15.75" customHeight="1">
      <c r="A384" s="257"/>
      <c r="B384" s="213"/>
      <c r="C384" s="213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13"/>
      <c r="T384" s="213"/>
      <c r="U384" s="213"/>
      <c r="V384" s="213"/>
      <c r="W384" s="213"/>
      <c r="X384" s="213"/>
      <c r="Y384" s="213"/>
      <c r="Z384" s="213"/>
      <c r="AA384" s="213"/>
      <c r="AB384" s="213"/>
      <c r="AC384" s="213"/>
      <c r="AD384" s="213"/>
    </row>
    <row r="385" ht="15.75" customHeight="1">
      <c r="A385" s="257"/>
      <c r="B385" s="213"/>
      <c r="C385" s="213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  <c r="AA385" s="213"/>
      <c r="AB385" s="213"/>
      <c r="AC385" s="213"/>
      <c r="AD385" s="213"/>
    </row>
    <row r="386" ht="15.75" customHeight="1">
      <c r="A386" s="257"/>
      <c r="B386" s="213"/>
      <c r="C386" s="213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  <c r="S386" s="213"/>
      <c r="T386" s="213"/>
      <c r="U386" s="213"/>
      <c r="V386" s="213"/>
      <c r="W386" s="213"/>
      <c r="X386" s="213"/>
      <c r="Y386" s="213"/>
      <c r="Z386" s="213"/>
      <c r="AA386" s="213"/>
      <c r="AB386" s="213"/>
      <c r="AC386" s="213"/>
      <c r="AD386" s="213"/>
    </row>
    <row r="387" ht="15.75" customHeight="1">
      <c r="A387" s="257"/>
      <c r="B387" s="213"/>
      <c r="C387" s="213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  <c r="S387" s="213"/>
      <c r="T387" s="213"/>
      <c r="U387" s="213"/>
      <c r="V387" s="213"/>
      <c r="W387" s="213"/>
      <c r="X387" s="213"/>
      <c r="Y387" s="213"/>
      <c r="Z387" s="213"/>
      <c r="AA387" s="213"/>
      <c r="AB387" s="213"/>
      <c r="AC387" s="213"/>
      <c r="AD387" s="213"/>
    </row>
    <row r="388" ht="15.75" customHeight="1">
      <c r="A388" s="257"/>
      <c r="B388" s="213"/>
      <c r="C388" s="213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  <c r="S388" s="213"/>
      <c r="T388" s="213"/>
      <c r="U388" s="213"/>
      <c r="V388" s="213"/>
      <c r="W388" s="213"/>
      <c r="X388" s="213"/>
      <c r="Y388" s="213"/>
      <c r="Z388" s="213"/>
      <c r="AA388" s="213"/>
      <c r="AB388" s="213"/>
      <c r="AC388" s="213"/>
      <c r="AD388" s="213"/>
    </row>
    <row r="389" ht="15.75" customHeight="1">
      <c r="A389" s="257"/>
      <c r="B389" s="213"/>
      <c r="C389" s="213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  <c r="S389" s="213"/>
      <c r="T389" s="213"/>
      <c r="U389" s="213"/>
      <c r="V389" s="213"/>
      <c r="W389" s="213"/>
      <c r="X389" s="213"/>
      <c r="Y389" s="213"/>
      <c r="Z389" s="213"/>
      <c r="AA389" s="213"/>
      <c r="AB389" s="213"/>
      <c r="AC389" s="213"/>
      <c r="AD389" s="213"/>
    </row>
    <row r="390" ht="15.75" customHeight="1">
      <c r="A390" s="257"/>
      <c r="B390" s="213"/>
      <c r="C390" s="213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3"/>
      <c r="T390" s="213"/>
      <c r="U390" s="213"/>
      <c r="V390" s="213"/>
      <c r="W390" s="213"/>
      <c r="X390" s="213"/>
      <c r="Y390" s="213"/>
      <c r="Z390" s="213"/>
      <c r="AA390" s="213"/>
      <c r="AB390" s="213"/>
      <c r="AC390" s="213"/>
      <c r="AD390" s="213"/>
    </row>
    <row r="391" ht="15.75" customHeight="1">
      <c r="A391" s="257"/>
      <c r="B391" s="213"/>
      <c r="C391" s="213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  <c r="T391" s="213"/>
      <c r="U391" s="213"/>
      <c r="V391" s="213"/>
      <c r="W391" s="213"/>
      <c r="X391" s="213"/>
      <c r="Y391" s="213"/>
      <c r="Z391" s="213"/>
      <c r="AA391" s="213"/>
      <c r="AB391" s="213"/>
      <c r="AC391" s="213"/>
      <c r="AD391" s="213"/>
    </row>
    <row r="392" ht="15.75" customHeight="1">
      <c r="A392" s="257"/>
      <c r="B392" s="213"/>
      <c r="C392" s="213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  <c r="AA392" s="213"/>
      <c r="AB392" s="213"/>
      <c r="AC392" s="213"/>
      <c r="AD392" s="213"/>
    </row>
    <row r="393" ht="15.75" customHeight="1">
      <c r="A393" s="257"/>
      <c r="B393" s="213"/>
      <c r="C393" s="213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3"/>
      <c r="W393" s="213"/>
      <c r="X393" s="213"/>
      <c r="Y393" s="213"/>
      <c r="Z393" s="213"/>
      <c r="AA393" s="213"/>
      <c r="AB393" s="213"/>
      <c r="AC393" s="213"/>
      <c r="AD393" s="213"/>
    </row>
    <row r="394" ht="15.75" customHeight="1">
      <c r="A394" s="257"/>
      <c r="B394" s="213"/>
      <c r="C394" s="213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3"/>
      <c r="X394" s="213"/>
      <c r="Y394" s="213"/>
      <c r="Z394" s="213"/>
      <c r="AA394" s="213"/>
      <c r="AB394" s="213"/>
      <c r="AC394" s="213"/>
      <c r="AD394" s="213"/>
    </row>
    <row r="395" ht="15.75" customHeight="1">
      <c r="A395" s="257"/>
      <c r="B395" s="213"/>
      <c r="C395" s="213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3"/>
      <c r="Y395" s="213"/>
      <c r="Z395" s="213"/>
      <c r="AA395" s="213"/>
      <c r="AB395" s="213"/>
      <c r="AC395" s="213"/>
      <c r="AD395" s="213"/>
    </row>
    <row r="396" ht="15.75" customHeight="1">
      <c r="A396" s="257"/>
      <c r="B396" s="213"/>
      <c r="C396" s="213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3"/>
      <c r="Z396" s="213"/>
      <c r="AA396" s="213"/>
      <c r="AB396" s="213"/>
      <c r="AC396" s="213"/>
      <c r="AD396" s="213"/>
    </row>
    <row r="397" ht="15.75" customHeight="1">
      <c r="A397" s="257"/>
      <c r="B397" s="213"/>
      <c r="C397" s="213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3"/>
      <c r="AA397" s="213"/>
      <c r="AB397" s="213"/>
      <c r="AC397" s="213"/>
      <c r="AD397" s="213"/>
    </row>
    <row r="398" ht="15.75" customHeight="1">
      <c r="A398" s="257"/>
      <c r="B398" s="213"/>
      <c r="C398" s="213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  <c r="AA398" s="213"/>
      <c r="AB398" s="213"/>
      <c r="AC398" s="213"/>
      <c r="AD398" s="213"/>
    </row>
    <row r="399" ht="15.75" customHeight="1">
      <c r="A399" s="257"/>
      <c r="B399" s="213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  <c r="AA399" s="213"/>
      <c r="AB399" s="213"/>
      <c r="AC399" s="213"/>
      <c r="AD399" s="213"/>
    </row>
    <row r="400" ht="15.75" customHeight="1">
      <c r="A400" s="257"/>
      <c r="B400" s="213"/>
      <c r="C400" s="213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  <c r="AA400" s="213"/>
      <c r="AB400" s="213"/>
      <c r="AC400" s="213"/>
      <c r="AD400" s="213"/>
    </row>
    <row r="401" ht="15.75" customHeight="1">
      <c r="A401" s="257"/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  <c r="AA401" s="213"/>
      <c r="AB401" s="213"/>
      <c r="AC401" s="213"/>
      <c r="AD401" s="213"/>
    </row>
    <row r="402" ht="15.75" customHeight="1">
      <c r="A402" s="257"/>
      <c r="B402" s="213"/>
      <c r="C402" s="213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  <c r="AA402" s="213"/>
      <c r="AB402" s="213"/>
      <c r="AC402" s="213"/>
      <c r="AD402" s="213"/>
    </row>
    <row r="403" ht="15.75" customHeight="1">
      <c r="A403" s="257"/>
      <c r="B403" s="213"/>
      <c r="C403" s="213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  <c r="AA403" s="213"/>
      <c r="AB403" s="213"/>
      <c r="AC403" s="213"/>
      <c r="AD403" s="213"/>
    </row>
    <row r="404" ht="15.75" customHeight="1">
      <c r="A404" s="257"/>
      <c r="B404" s="213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  <c r="AA404" s="213"/>
      <c r="AB404" s="213"/>
      <c r="AC404" s="213"/>
      <c r="AD404" s="213"/>
    </row>
    <row r="405" ht="15.75" customHeight="1">
      <c r="A405" s="257"/>
      <c r="B405" s="213"/>
      <c r="C405" s="213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  <c r="AA405" s="213"/>
      <c r="AB405" s="213"/>
      <c r="AC405" s="213"/>
      <c r="AD405" s="213"/>
    </row>
    <row r="406" ht="15.75" customHeight="1">
      <c r="A406" s="257"/>
      <c r="B406" s="213"/>
      <c r="C406" s="213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  <c r="AA406" s="213"/>
      <c r="AB406" s="213"/>
      <c r="AC406" s="213"/>
      <c r="AD406" s="213"/>
    </row>
    <row r="407" ht="15.75" customHeight="1">
      <c r="A407" s="257"/>
      <c r="B407" s="213"/>
      <c r="C407" s="213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  <c r="AA407" s="213"/>
      <c r="AB407" s="213"/>
      <c r="AC407" s="213"/>
      <c r="AD407" s="213"/>
    </row>
    <row r="408" ht="15.75" customHeight="1">
      <c r="A408" s="257"/>
      <c r="B408" s="213"/>
      <c r="C408" s="213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  <c r="AA408" s="213"/>
      <c r="AB408" s="213"/>
      <c r="AC408" s="213"/>
      <c r="AD408" s="213"/>
    </row>
    <row r="409" ht="15.75" customHeight="1">
      <c r="A409" s="257"/>
      <c r="B409" s="213"/>
      <c r="C409" s="213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  <c r="AA409" s="213"/>
      <c r="AB409" s="213"/>
      <c r="AC409" s="213"/>
      <c r="AD409" s="213"/>
    </row>
    <row r="410" ht="15.75" customHeight="1">
      <c r="A410" s="257"/>
      <c r="B410" s="213"/>
      <c r="C410" s="213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  <c r="AA410" s="213"/>
      <c r="AB410" s="213"/>
      <c r="AC410" s="213"/>
      <c r="AD410" s="213"/>
    </row>
    <row r="411" ht="15.75" customHeight="1">
      <c r="A411" s="257"/>
      <c r="B411" s="213"/>
      <c r="C411" s="213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  <c r="AA411" s="213"/>
      <c r="AB411" s="213"/>
      <c r="AC411" s="213"/>
      <c r="AD411" s="213"/>
    </row>
    <row r="412" ht="15.75" customHeight="1">
      <c r="A412" s="257"/>
      <c r="B412" s="213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  <c r="AA412" s="213"/>
      <c r="AB412" s="213"/>
      <c r="AC412" s="213"/>
      <c r="AD412" s="213"/>
    </row>
    <row r="413" ht="15.75" customHeight="1">
      <c r="A413" s="257"/>
      <c r="B413" s="213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  <c r="AA413" s="213"/>
      <c r="AB413" s="213"/>
      <c r="AC413" s="213"/>
      <c r="AD413" s="213"/>
    </row>
    <row r="414" ht="15.75" customHeight="1">
      <c r="A414" s="257"/>
      <c r="B414" s="213"/>
      <c r="C414" s="213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  <c r="AA414" s="213"/>
      <c r="AB414" s="213"/>
      <c r="AC414" s="213"/>
      <c r="AD414" s="213"/>
    </row>
    <row r="415" ht="15.75" customHeight="1">
      <c r="A415" s="257"/>
      <c r="B415" s="213"/>
      <c r="C415" s="213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  <c r="Q415" s="213"/>
      <c r="R415" s="213"/>
      <c r="S415" s="213"/>
      <c r="T415" s="213"/>
      <c r="U415" s="213"/>
      <c r="V415" s="213"/>
      <c r="W415" s="213"/>
      <c r="X415" s="213"/>
      <c r="Y415" s="213"/>
      <c r="Z415" s="213"/>
      <c r="AA415" s="213"/>
      <c r="AB415" s="213"/>
      <c r="AC415" s="213"/>
      <c r="AD415" s="213"/>
    </row>
    <row r="416" ht="15.75" customHeight="1">
      <c r="A416" s="257"/>
      <c r="B416" s="213"/>
      <c r="C416" s="213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  <c r="S416" s="213"/>
      <c r="T416" s="213"/>
      <c r="U416" s="213"/>
      <c r="V416" s="213"/>
      <c r="W416" s="213"/>
      <c r="X416" s="213"/>
      <c r="Y416" s="213"/>
      <c r="Z416" s="213"/>
      <c r="AA416" s="213"/>
      <c r="AB416" s="213"/>
      <c r="AC416" s="213"/>
      <c r="AD416" s="213"/>
    </row>
    <row r="417" ht="15.75" customHeight="1">
      <c r="A417" s="257"/>
      <c r="B417" s="213"/>
      <c r="C417" s="213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  <c r="S417" s="213"/>
      <c r="T417" s="213"/>
      <c r="U417" s="213"/>
      <c r="V417" s="213"/>
      <c r="W417" s="213"/>
      <c r="X417" s="213"/>
      <c r="Y417" s="213"/>
      <c r="Z417" s="213"/>
      <c r="AA417" s="213"/>
      <c r="AB417" s="213"/>
      <c r="AC417" s="213"/>
      <c r="AD417" s="213"/>
    </row>
    <row r="418" ht="15.75" customHeight="1">
      <c r="A418" s="257"/>
      <c r="B418" s="213"/>
      <c r="C418" s="213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  <c r="AA418" s="213"/>
      <c r="AB418" s="213"/>
      <c r="AC418" s="213"/>
      <c r="AD418" s="213"/>
    </row>
    <row r="419" ht="15.75" customHeight="1">
      <c r="A419" s="257"/>
      <c r="B419" s="213"/>
      <c r="C419" s="213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  <c r="S419" s="213"/>
      <c r="T419" s="213"/>
      <c r="U419" s="213"/>
      <c r="V419" s="213"/>
      <c r="W419" s="213"/>
      <c r="X419" s="213"/>
      <c r="Y419" s="213"/>
      <c r="Z419" s="213"/>
      <c r="AA419" s="213"/>
      <c r="AB419" s="213"/>
      <c r="AC419" s="213"/>
      <c r="AD419" s="213"/>
    </row>
    <row r="420" ht="15.75" customHeight="1">
      <c r="A420" s="257"/>
      <c r="B420" s="213"/>
      <c r="C420" s="213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  <c r="AA420" s="213"/>
      <c r="AB420" s="213"/>
      <c r="AC420" s="213"/>
      <c r="AD420" s="213"/>
    </row>
    <row r="421" ht="15.75" customHeight="1">
      <c r="A421" s="257"/>
      <c r="B421" s="213"/>
      <c r="C421" s="213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  <c r="S421" s="213"/>
      <c r="T421" s="213"/>
      <c r="U421" s="213"/>
      <c r="V421" s="213"/>
      <c r="W421" s="213"/>
      <c r="X421" s="213"/>
      <c r="Y421" s="213"/>
      <c r="Z421" s="213"/>
      <c r="AA421" s="213"/>
      <c r="AB421" s="213"/>
      <c r="AC421" s="213"/>
      <c r="AD421" s="213"/>
    </row>
    <row r="422" ht="15.75" customHeight="1">
      <c r="A422" s="257"/>
      <c r="B422" s="213"/>
      <c r="C422" s="213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  <c r="S422" s="213"/>
      <c r="T422" s="213"/>
      <c r="U422" s="213"/>
      <c r="V422" s="213"/>
      <c r="W422" s="213"/>
      <c r="X422" s="213"/>
      <c r="Y422" s="213"/>
      <c r="Z422" s="213"/>
      <c r="AA422" s="213"/>
      <c r="AB422" s="213"/>
      <c r="AC422" s="213"/>
      <c r="AD422" s="213"/>
    </row>
    <row r="423" ht="15.75" customHeight="1">
      <c r="A423" s="257"/>
      <c r="B423" s="213"/>
      <c r="C423" s="213"/>
      <c r="D423" s="213"/>
      <c r="E423" s="213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/>
      <c r="R423" s="213"/>
      <c r="S423" s="213"/>
      <c r="T423" s="213"/>
      <c r="U423" s="213"/>
      <c r="V423" s="213"/>
      <c r="W423" s="213"/>
      <c r="X423" s="213"/>
      <c r="Y423" s="213"/>
      <c r="Z423" s="213"/>
      <c r="AA423" s="213"/>
      <c r="AB423" s="213"/>
      <c r="AC423" s="213"/>
      <c r="AD423" s="213"/>
    </row>
    <row r="424" ht="15.75" customHeight="1">
      <c r="A424" s="257"/>
      <c r="B424" s="213"/>
      <c r="C424" s="213"/>
      <c r="D424" s="213"/>
      <c r="E424" s="213"/>
      <c r="F424" s="213"/>
      <c r="G424" s="213"/>
      <c r="H424" s="213"/>
      <c r="I424" s="213"/>
      <c r="J424" s="213"/>
      <c r="K424" s="213"/>
      <c r="L424" s="213"/>
      <c r="M424" s="213"/>
      <c r="N424" s="213"/>
      <c r="O424" s="213"/>
      <c r="P424" s="213"/>
      <c r="Q424" s="213"/>
      <c r="R424" s="213"/>
      <c r="S424" s="213"/>
      <c r="T424" s="213"/>
      <c r="U424" s="213"/>
      <c r="V424" s="213"/>
      <c r="W424" s="213"/>
      <c r="X424" s="213"/>
      <c r="Y424" s="213"/>
      <c r="Z424" s="213"/>
      <c r="AA424" s="213"/>
      <c r="AB424" s="213"/>
      <c r="AC424" s="213"/>
      <c r="AD424" s="213"/>
    </row>
    <row r="425" ht="15.75" customHeight="1">
      <c r="A425" s="257"/>
      <c r="B425" s="213"/>
      <c r="C425" s="213"/>
      <c r="D425" s="213"/>
      <c r="E425" s="213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  <c r="Q425" s="213"/>
      <c r="R425" s="213"/>
      <c r="S425" s="213"/>
      <c r="T425" s="213"/>
      <c r="U425" s="213"/>
      <c r="V425" s="213"/>
      <c r="W425" s="213"/>
      <c r="X425" s="213"/>
      <c r="Y425" s="213"/>
      <c r="Z425" s="213"/>
      <c r="AA425" s="213"/>
      <c r="AB425" s="213"/>
      <c r="AC425" s="213"/>
      <c r="AD425" s="213"/>
    </row>
    <row r="426" ht="15.75" customHeight="1">
      <c r="A426" s="257"/>
      <c r="B426" s="213"/>
      <c r="C426" s="213"/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3"/>
      <c r="O426" s="213"/>
      <c r="P426" s="213"/>
      <c r="Q426" s="213"/>
      <c r="R426" s="213"/>
      <c r="S426" s="213"/>
      <c r="T426" s="213"/>
      <c r="U426" s="213"/>
      <c r="V426" s="213"/>
      <c r="W426" s="213"/>
      <c r="X426" s="213"/>
      <c r="Y426" s="213"/>
      <c r="Z426" s="213"/>
      <c r="AA426" s="213"/>
      <c r="AB426" s="213"/>
      <c r="AC426" s="213"/>
      <c r="AD426" s="213"/>
    </row>
    <row r="427" ht="15.75" customHeight="1">
      <c r="A427" s="257"/>
      <c r="B427" s="213"/>
      <c r="C427" s="213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  <c r="AA427" s="213"/>
      <c r="AB427" s="213"/>
      <c r="AC427" s="213"/>
      <c r="AD427" s="213"/>
    </row>
    <row r="428" ht="15.75" customHeight="1">
      <c r="A428" s="257"/>
      <c r="B428" s="213"/>
      <c r="C428" s="213"/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3"/>
      <c r="Q428" s="213"/>
      <c r="R428" s="213"/>
      <c r="S428" s="213"/>
      <c r="T428" s="213"/>
      <c r="U428" s="213"/>
      <c r="V428" s="213"/>
      <c r="W428" s="213"/>
      <c r="X428" s="213"/>
      <c r="Y428" s="213"/>
      <c r="Z428" s="213"/>
      <c r="AA428" s="213"/>
      <c r="AB428" s="213"/>
      <c r="AC428" s="213"/>
      <c r="AD428" s="213"/>
    </row>
    <row r="429" ht="15.75" customHeight="1">
      <c r="A429" s="257"/>
      <c r="B429" s="213"/>
      <c r="C429" s="213"/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13"/>
      <c r="S429" s="213"/>
      <c r="T429" s="213"/>
      <c r="U429" s="213"/>
      <c r="V429" s="213"/>
      <c r="W429" s="213"/>
      <c r="X429" s="213"/>
      <c r="Y429" s="213"/>
      <c r="Z429" s="213"/>
      <c r="AA429" s="213"/>
      <c r="AB429" s="213"/>
      <c r="AC429" s="213"/>
      <c r="AD429" s="213"/>
    </row>
    <row r="430" ht="15.75" customHeight="1">
      <c r="A430" s="257"/>
      <c r="B430" s="213"/>
      <c r="C430" s="213"/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3"/>
      <c r="S430" s="213"/>
      <c r="T430" s="213"/>
      <c r="U430" s="213"/>
      <c r="V430" s="213"/>
      <c r="W430" s="213"/>
      <c r="X430" s="213"/>
      <c r="Y430" s="213"/>
      <c r="Z430" s="213"/>
      <c r="AA430" s="213"/>
      <c r="AB430" s="213"/>
      <c r="AC430" s="213"/>
      <c r="AD430" s="213"/>
    </row>
    <row r="431" ht="15.75" customHeight="1">
      <c r="A431" s="257"/>
      <c r="B431" s="213"/>
      <c r="C431" s="213"/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  <c r="S431" s="213"/>
      <c r="T431" s="213"/>
      <c r="U431" s="213"/>
      <c r="V431" s="213"/>
      <c r="W431" s="213"/>
      <c r="X431" s="213"/>
      <c r="Y431" s="213"/>
      <c r="Z431" s="213"/>
      <c r="AA431" s="213"/>
      <c r="AB431" s="213"/>
      <c r="AC431" s="213"/>
      <c r="AD431" s="213"/>
    </row>
    <row r="432" ht="15.75" customHeight="1">
      <c r="A432" s="257"/>
      <c r="B432" s="213"/>
      <c r="C432" s="213"/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  <c r="T432" s="213"/>
      <c r="U432" s="213"/>
      <c r="V432" s="213"/>
      <c r="W432" s="213"/>
      <c r="X432" s="213"/>
      <c r="Y432" s="213"/>
      <c r="Z432" s="213"/>
      <c r="AA432" s="213"/>
      <c r="AB432" s="213"/>
      <c r="AC432" s="213"/>
      <c r="AD432" s="213"/>
    </row>
    <row r="433" ht="15.75" customHeight="1">
      <c r="A433" s="257"/>
      <c r="B433" s="213"/>
      <c r="C433" s="213"/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3"/>
      <c r="U433" s="213"/>
      <c r="V433" s="213"/>
      <c r="W433" s="213"/>
      <c r="X433" s="213"/>
      <c r="Y433" s="213"/>
      <c r="Z433" s="213"/>
      <c r="AA433" s="213"/>
      <c r="AB433" s="213"/>
      <c r="AC433" s="213"/>
      <c r="AD433" s="213"/>
    </row>
    <row r="434" ht="15.75" customHeight="1">
      <c r="A434" s="257"/>
      <c r="B434" s="213"/>
      <c r="C434" s="213"/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3"/>
      <c r="V434" s="213"/>
      <c r="W434" s="213"/>
      <c r="X434" s="213"/>
      <c r="Y434" s="213"/>
      <c r="Z434" s="213"/>
      <c r="AA434" s="213"/>
      <c r="AB434" s="213"/>
      <c r="AC434" s="213"/>
      <c r="AD434" s="213"/>
    </row>
    <row r="435" ht="15.75" customHeight="1">
      <c r="A435" s="257"/>
      <c r="B435" s="213"/>
      <c r="C435" s="213"/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3"/>
      <c r="W435" s="213"/>
      <c r="X435" s="213"/>
      <c r="Y435" s="213"/>
      <c r="Z435" s="213"/>
      <c r="AA435" s="213"/>
      <c r="AB435" s="213"/>
      <c r="AC435" s="213"/>
      <c r="AD435" s="213"/>
    </row>
    <row r="436" ht="15.75" customHeight="1">
      <c r="A436" s="257"/>
      <c r="B436" s="213"/>
      <c r="C436" s="213"/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3"/>
      <c r="Y436" s="213"/>
      <c r="Z436" s="213"/>
      <c r="AA436" s="213"/>
      <c r="AB436" s="213"/>
      <c r="AC436" s="213"/>
      <c r="AD436" s="213"/>
    </row>
    <row r="437" ht="15.75" customHeight="1">
      <c r="A437" s="257"/>
      <c r="B437" s="213"/>
      <c r="C437" s="213"/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3"/>
      <c r="Z437" s="213"/>
      <c r="AA437" s="213"/>
      <c r="AB437" s="213"/>
      <c r="AC437" s="213"/>
      <c r="AD437" s="213"/>
    </row>
    <row r="438" ht="15.75" customHeight="1">
      <c r="A438" s="257"/>
      <c r="B438" s="213"/>
      <c r="C438" s="213"/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  <c r="Z438" s="213"/>
      <c r="AA438" s="213"/>
      <c r="AB438" s="213"/>
      <c r="AC438" s="213"/>
      <c r="AD438" s="213"/>
    </row>
    <row r="439" ht="15.75" customHeight="1">
      <c r="A439" s="257"/>
      <c r="B439" s="213"/>
      <c r="C439" s="213"/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  <c r="AA439" s="213"/>
      <c r="AB439" s="213"/>
      <c r="AC439" s="213"/>
      <c r="AD439" s="213"/>
    </row>
    <row r="440" ht="15.75" customHeight="1">
      <c r="A440" s="257"/>
      <c r="B440" s="213"/>
      <c r="C440" s="213"/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  <c r="AA440" s="213"/>
      <c r="AB440" s="213"/>
      <c r="AC440" s="213"/>
      <c r="AD440" s="213"/>
    </row>
    <row r="441" ht="15.75" customHeight="1">
      <c r="A441" s="257"/>
      <c r="B441" s="213"/>
      <c r="C441" s="213"/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  <c r="AA441" s="213"/>
      <c r="AB441" s="213"/>
      <c r="AC441" s="213"/>
      <c r="AD441" s="213"/>
    </row>
    <row r="442" ht="15.75" customHeight="1">
      <c r="A442" s="257"/>
      <c r="B442" s="213"/>
      <c r="C442" s="213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  <c r="AA442" s="213"/>
      <c r="AB442" s="213"/>
      <c r="AC442" s="213"/>
      <c r="AD442" s="213"/>
    </row>
    <row r="443" ht="15.75" customHeight="1">
      <c r="A443" s="257"/>
      <c r="B443" s="213"/>
      <c r="C443" s="213"/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  <c r="AA443" s="213"/>
      <c r="AB443" s="213"/>
      <c r="AC443" s="213"/>
      <c r="AD443" s="213"/>
    </row>
    <row r="444" ht="15.75" customHeight="1">
      <c r="A444" s="257"/>
      <c r="B444" s="213"/>
      <c r="C444" s="213"/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  <c r="AA444" s="213"/>
      <c r="AB444" s="213"/>
      <c r="AC444" s="213"/>
      <c r="AD444" s="213"/>
    </row>
    <row r="445" ht="15.75" customHeight="1">
      <c r="A445" s="257"/>
      <c r="B445" s="213"/>
      <c r="C445" s="213"/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  <c r="AA445" s="213"/>
      <c r="AB445" s="213"/>
      <c r="AC445" s="213"/>
      <c r="AD445" s="213"/>
    </row>
    <row r="446" ht="15.75" customHeight="1">
      <c r="A446" s="257"/>
      <c r="B446" s="213"/>
      <c r="C446" s="213"/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  <c r="AA446" s="213"/>
      <c r="AB446" s="213"/>
      <c r="AC446" s="213"/>
      <c r="AD446" s="213"/>
    </row>
    <row r="447" ht="15.75" customHeight="1">
      <c r="A447" s="257"/>
      <c r="B447" s="213"/>
      <c r="C447" s="213"/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  <c r="AA447" s="213"/>
      <c r="AB447" s="213"/>
      <c r="AC447" s="213"/>
      <c r="AD447" s="213"/>
    </row>
    <row r="448" ht="15.75" customHeight="1">
      <c r="A448" s="257"/>
      <c r="B448" s="213"/>
      <c r="C448" s="213"/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  <c r="AA448" s="213"/>
      <c r="AB448" s="213"/>
      <c r="AC448" s="213"/>
      <c r="AD448" s="213"/>
    </row>
    <row r="449" ht="15.75" customHeight="1">
      <c r="A449" s="257"/>
      <c r="B449" s="213"/>
      <c r="C449" s="213"/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  <c r="AA449" s="213"/>
      <c r="AB449" s="213"/>
      <c r="AC449" s="213"/>
      <c r="AD449" s="213"/>
    </row>
    <row r="450" ht="15.75" customHeight="1">
      <c r="A450" s="257"/>
      <c r="B450" s="213"/>
      <c r="C450" s="213"/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  <c r="AA450" s="213"/>
      <c r="AB450" s="213"/>
      <c r="AC450" s="213"/>
      <c r="AD450" s="213"/>
    </row>
    <row r="451" ht="15.75" customHeight="1">
      <c r="A451" s="257"/>
      <c r="B451" s="213"/>
      <c r="C451" s="213"/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  <c r="AA451" s="213"/>
      <c r="AB451" s="213"/>
      <c r="AC451" s="213"/>
      <c r="AD451" s="213"/>
    </row>
    <row r="452" ht="15.75" customHeight="1">
      <c r="A452" s="257"/>
      <c r="B452" s="213"/>
      <c r="C452" s="213"/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  <c r="AA452" s="213"/>
      <c r="AB452" s="213"/>
      <c r="AC452" s="213"/>
      <c r="AD452" s="213"/>
    </row>
    <row r="453" ht="15.75" customHeight="1">
      <c r="A453" s="257"/>
      <c r="B453" s="213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  <c r="AA453" s="213"/>
      <c r="AB453" s="213"/>
      <c r="AC453" s="213"/>
      <c r="AD453" s="213"/>
    </row>
    <row r="454" ht="15.75" customHeight="1">
      <c r="A454" s="257"/>
      <c r="B454" s="213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  <c r="AA454" s="213"/>
      <c r="AB454" s="213"/>
      <c r="AC454" s="213"/>
      <c r="AD454" s="213"/>
    </row>
    <row r="455" ht="15.75" customHeight="1">
      <c r="A455" s="257"/>
      <c r="B455" s="213"/>
      <c r="C455" s="213"/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  <c r="AA455" s="213"/>
      <c r="AB455" s="213"/>
      <c r="AC455" s="213"/>
      <c r="AD455" s="213"/>
    </row>
    <row r="456" ht="15.75" customHeight="1">
      <c r="A456" s="257"/>
      <c r="B456" s="213"/>
      <c r="C456" s="213"/>
      <c r="D456" s="213"/>
      <c r="E456" s="213"/>
      <c r="F456" s="213"/>
      <c r="G456" s="213"/>
      <c r="H456" s="213"/>
      <c r="I456" s="213"/>
      <c r="J456" s="213"/>
      <c r="K456" s="213"/>
      <c r="L456" s="213"/>
      <c r="M456" s="213"/>
      <c r="N456" s="213"/>
      <c r="O456" s="213"/>
      <c r="P456" s="213"/>
      <c r="Q456" s="213"/>
      <c r="R456" s="213"/>
      <c r="S456" s="213"/>
      <c r="T456" s="213"/>
      <c r="U456" s="213"/>
      <c r="V456" s="213"/>
      <c r="W456" s="213"/>
      <c r="X456" s="213"/>
      <c r="Y456" s="213"/>
      <c r="Z456" s="213"/>
      <c r="AA456" s="213"/>
      <c r="AB456" s="213"/>
      <c r="AC456" s="213"/>
      <c r="AD456" s="213"/>
    </row>
    <row r="457" ht="15.75" customHeight="1">
      <c r="A457" s="257"/>
      <c r="B457" s="213"/>
      <c r="C457" s="213"/>
      <c r="D457" s="213"/>
      <c r="E457" s="213"/>
      <c r="F457" s="213"/>
      <c r="G457" s="213"/>
      <c r="H457" s="213"/>
      <c r="I457" s="213"/>
      <c r="J457" s="213"/>
      <c r="K457" s="213"/>
      <c r="L457" s="213"/>
      <c r="M457" s="213"/>
      <c r="N457" s="213"/>
      <c r="O457" s="213"/>
      <c r="P457" s="213"/>
      <c r="Q457" s="213"/>
      <c r="R457" s="213"/>
      <c r="S457" s="213"/>
      <c r="T457" s="213"/>
      <c r="U457" s="213"/>
      <c r="V457" s="213"/>
      <c r="W457" s="213"/>
      <c r="X457" s="213"/>
      <c r="Y457" s="213"/>
      <c r="Z457" s="213"/>
      <c r="AA457" s="213"/>
      <c r="AB457" s="213"/>
      <c r="AC457" s="213"/>
      <c r="AD457" s="213"/>
    </row>
    <row r="458" ht="15.75" customHeight="1">
      <c r="A458" s="257"/>
      <c r="B458" s="213"/>
      <c r="C458" s="213"/>
      <c r="D458" s="213"/>
      <c r="E458" s="213"/>
      <c r="F458" s="213"/>
      <c r="G458" s="213"/>
      <c r="H458" s="213"/>
      <c r="I458" s="213"/>
      <c r="J458" s="213"/>
      <c r="K458" s="213"/>
      <c r="L458" s="213"/>
      <c r="M458" s="213"/>
      <c r="N458" s="213"/>
      <c r="O458" s="213"/>
      <c r="P458" s="213"/>
      <c r="Q458" s="213"/>
      <c r="R458" s="213"/>
      <c r="S458" s="213"/>
      <c r="T458" s="213"/>
      <c r="U458" s="213"/>
      <c r="V458" s="213"/>
      <c r="W458" s="213"/>
      <c r="X458" s="213"/>
      <c r="Y458" s="213"/>
      <c r="Z458" s="213"/>
      <c r="AA458" s="213"/>
      <c r="AB458" s="213"/>
      <c r="AC458" s="213"/>
      <c r="AD458" s="213"/>
    </row>
    <row r="459" ht="15.75" customHeight="1">
      <c r="A459" s="257"/>
      <c r="B459" s="213"/>
      <c r="C459" s="213"/>
      <c r="D459" s="213"/>
      <c r="E459" s="213"/>
      <c r="F459" s="213"/>
      <c r="G459" s="213"/>
      <c r="H459" s="213"/>
      <c r="I459" s="213"/>
      <c r="J459" s="213"/>
      <c r="K459" s="213"/>
      <c r="L459" s="213"/>
      <c r="M459" s="213"/>
      <c r="N459" s="213"/>
      <c r="O459" s="213"/>
      <c r="P459" s="213"/>
      <c r="Q459" s="213"/>
      <c r="R459" s="213"/>
      <c r="S459" s="213"/>
      <c r="T459" s="213"/>
      <c r="U459" s="213"/>
      <c r="V459" s="213"/>
      <c r="W459" s="213"/>
      <c r="X459" s="213"/>
      <c r="Y459" s="213"/>
      <c r="Z459" s="213"/>
      <c r="AA459" s="213"/>
      <c r="AB459" s="213"/>
      <c r="AC459" s="213"/>
      <c r="AD459" s="213"/>
    </row>
    <row r="460" ht="15.75" customHeight="1">
      <c r="A460" s="257"/>
      <c r="B460" s="213"/>
      <c r="C460" s="213"/>
      <c r="D460" s="213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13"/>
      <c r="Q460" s="213"/>
      <c r="R460" s="213"/>
      <c r="S460" s="213"/>
      <c r="T460" s="213"/>
      <c r="U460" s="213"/>
      <c r="V460" s="213"/>
      <c r="W460" s="213"/>
      <c r="X460" s="213"/>
      <c r="Y460" s="213"/>
      <c r="Z460" s="213"/>
      <c r="AA460" s="213"/>
      <c r="AB460" s="213"/>
      <c r="AC460" s="213"/>
      <c r="AD460" s="213"/>
    </row>
    <row r="461" ht="15.75" customHeight="1">
      <c r="A461" s="257"/>
      <c r="B461" s="213"/>
      <c r="C461" s="213"/>
      <c r="D461" s="213"/>
      <c r="E461" s="213"/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  <c r="Q461" s="213"/>
      <c r="R461" s="213"/>
      <c r="S461" s="213"/>
      <c r="T461" s="213"/>
      <c r="U461" s="213"/>
      <c r="V461" s="213"/>
      <c r="W461" s="213"/>
      <c r="X461" s="213"/>
      <c r="Y461" s="213"/>
      <c r="Z461" s="213"/>
      <c r="AA461" s="213"/>
      <c r="AB461" s="213"/>
      <c r="AC461" s="213"/>
      <c r="AD461" s="213"/>
    </row>
    <row r="462" ht="15.75" customHeight="1">
      <c r="A462" s="257"/>
      <c r="B462" s="213"/>
      <c r="C462" s="213"/>
      <c r="D462" s="213"/>
      <c r="E462" s="213"/>
      <c r="F462" s="213"/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  <c r="Q462" s="213"/>
      <c r="R462" s="213"/>
      <c r="S462" s="213"/>
      <c r="T462" s="213"/>
      <c r="U462" s="213"/>
      <c r="V462" s="213"/>
      <c r="W462" s="213"/>
      <c r="X462" s="213"/>
      <c r="Y462" s="213"/>
      <c r="Z462" s="213"/>
      <c r="AA462" s="213"/>
      <c r="AB462" s="213"/>
      <c r="AC462" s="213"/>
      <c r="AD462" s="213"/>
    </row>
    <row r="463" ht="15.75" customHeight="1">
      <c r="A463" s="257"/>
      <c r="B463" s="213"/>
      <c r="C463" s="213"/>
      <c r="D463" s="213"/>
      <c r="E463" s="213"/>
      <c r="F463" s="213"/>
      <c r="G463" s="213"/>
      <c r="H463" s="213"/>
      <c r="I463" s="213"/>
      <c r="J463" s="213"/>
      <c r="K463" s="213"/>
      <c r="L463" s="213"/>
      <c r="M463" s="213"/>
      <c r="N463" s="213"/>
      <c r="O463" s="213"/>
      <c r="P463" s="213"/>
      <c r="Q463" s="213"/>
      <c r="R463" s="213"/>
      <c r="S463" s="213"/>
      <c r="T463" s="213"/>
      <c r="U463" s="213"/>
      <c r="V463" s="213"/>
      <c r="W463" s="213"/>
      <c r="X463" s="213"/>
      <c r="Y463" s="213"/>
      <c r="Z463" s="213"/>
      <c r="AA463" s="213"/>
      <c r="AB463" s="213"/>
      <c r="AC463" s="213"/>
      <c r="AD463" s="213"/>
    </row>
    <row r="464" ht="15.75" customHeight="1">
      <c r="A464" s="257"/>
      <c r="B464" s="213"/>
      <c r="C464" s="213"/>
      <c r="D464" s="213"/>
      <c r="E464" s="213"/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  <c r="Q464" s="213"/>
      <c r="R464" s="213"/>
      <c r="S464" s="213"/>
      <c r="T464" s="213"/>
      <c r="U464" s="213"/>
      <c r="V464" s="213"/>
      <c r="W464" s="213"/>
      <c r="X464" s="213"/>
      <c r="Y464" s="213"/>
      <c r="Z464" s="213"/>
      <c r="AA464" s="213"/>
      <c r="AB464" s="213"/>
      <c r="AC464" s="213"/>
      <c r="AD464" s="213"/>
    </row>
    <row r="465" ht="15.75" customHeight="1">
      <c r="A465" s="257"/>
      <c r="B465" s="213"/>
      <c r="C465" s="213"/>
      <c r="D465" s="213"/>
      <c r="E465" s="213"/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  <c r="Q465" s="213"/>
      <c r="R465" s="213"/>
      <c r="S465" s="213"/>
      <c r="T465" s="213"/>
      <c r="U465" s="213"/>
      <c r="V465" s="213"/>
      <c r="W465" s="213"/>
      <c r="X465" s="213"/>
      <c r="Y465" s="213"/>
      <c r="Z465" s="213"/>
      <c r="AA465" s="213"/>
      <c r="AB465" s="213"/>
      <c r="AC465" s="213"/>
      <c r="AD465" s="213"/>
    </row>
    <row r="466" ht="15.75" customHeight="1">
      <c r="A466" s="257"/>
      <c r="B466" s="213"/>
      <c r="C466" s="213"/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  <c r="Q466" s="213"/>
      <c r="R466" s="213"/>
      <c r="S466" s="213"/>
      <c r="T466" s="213"/>
      <c r="U466" s="213"/>
      <c r="V466" s="213"/>
      <c r="W466" s="213"/>
      <c r="X466" s="213"/>
      <c r="Y466" s="213"/>
      <c r="Z466" s="213"/>
      <c r="AA466" s="213"/>
      <c r="AB466" s="213"/>
      <c r="AC466" s="213"/>
      <c r="AD466" s="213"/>
    </row>
    <row r="467" ht="15.75" customHeight="1">
      <c r="A467" s="257"/>
      <c r="B467" s="213"/>
      <c r="C467" s="213"/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/>
      <c r="R467" s="213"/>
      <c r="S467" s="213"/>
      <c r="T467" s="213"/>
      <c r="U467" s="213"/>
      <c r="V467" s="213"/>
      <c r="W467" s="213"/>
      <c r="X467" s="213"/>
      <c r="Y467" s="213"/>
      <c r="Z467" s="213"/>
      <c r="AA467" s="213"/>
      <c r="AB467" s="213"/>
      <c r="AC467" s="213"/>
      <c r="AD467" s="213"/>
    </row>
    <row r="468" ht="15.75" customHeight="1">
      <c r="A468" s="257"/>
      <c r="B468" s="213"/>
      <c r="C468" s="213"/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13"/>
      <c r="S468" s="213"/>
      <c r="T468" s="213"/>
      <c r="U468" s="213"/>
      <c r="V468" s="213"/>
      <c r="W468" s="213"/>
      <c r="X468" s="213"/>
      <c r="Y468" s="213"/>
      <c r="Z468" s="213"/>
      <c r="AA468" s="213"/>
      <c r="AB468" s="213"/>
      <c r="AC468" s="213"/>
      <c r="AD468" s="213"/>
    </row>
    <row r="469" ht="15.75" customHeight="1">
      <c r="A469" s="257"/>
      <c r="B469" s="213"/>
      <c r="C469" s="213"/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13"/>
      <c r="S469" s="213"/>
      <c r="T469" s="213"/>
      <c r="U469" s="213"/>
      <c r="V469" s="213"/>
      <c r="W469" s="213"/>
      <c r="X469" s="213"/>
      <c r="Y469" s="213"/>
      <c r="Z469" s="213"/>
      <c r="AA469" s="213"/>
      <c r="AB469" s="213"/>
      <c r="AC469" s="213"/>
      <c r="AD469" s="213"/>
    </row>
    <row r="470" ht="15.75" customHeight="1">
      <c r="A470" s="257"/>
      <c r="B470" s="213"/>
      <c r="C470" s="213"/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3"/>
      <c r="S470" s="213"/>
      <c r="T470" s="213"/>
      <c r="U470" s="213"/>
      <c r="V470" s="213"/>
      <c r="W470" s="213"/>
      <c r="X470" s="213"/>
      <c r="Y470" s="213"/>
      <c r="Z470" s="213"/>
      <c r="AA470" s="213"/>
      <c r="AB470" s="213"/>
      <c r="AC470" s="213"/>
      <c r="AD470" s="213"/>
    </row>
    <row r="471" ht="15.75" customHeight="1">
      <c r="A471" s="257"/>
      <c r="B471" s="213"/>
      <c r="C471" s="213"/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3"/>
      <c r="T471" s="213"/>
      <c r="U471" s="213"/>
      <c r="V471" s="213"/>
      <c r="W471" s="213"/>
      <c r="X471" s="213"/>
      <c r="Y471" s="213"/>
      <c r="Z471" s="213"/>
      <c r="AA471" s="213"/>
      <c r="AB471" s="213"/>
      <c r="AC471" s="213"/>
      <c r="AD471" s="213"/>
    </row>
    <row r="472" ht="15.75" customHeight="1">
      <c r="A472" s="257"/>
      <c r="B472" s="213"/>
      <c r="C472" s="213"/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3"/>
      <c r="T472" s="213"/>
      <c r="U472" s="213"/>
      <c r="V472" s="213"/>
      <c r="W472" s="213"/>
      <c r="X472" s="213"/>
      <c r="Y472" s="213"/>
      <c r="Z472" s="213"/>
      <c r="AA472" s="213"/>
      <c r="AB472" s="213"/>
      <c r="AC472" s="213"/>
      <c r="AD472" s="213"/>
    </row>
    <row r="473" ht="15.75" customHeight="1">
      <c r="A473" s="257"/>
      <c r="B473" s="213"/>
      <c r="C473" s="213"/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3"/>
      <c r="U473" s="213"/>
      <c r="V473" s="213"/>
      <c r="W473" s="213"/>
      <c r="X473" s="213"/>
      <c r="Y473" s="213"/>
      <c r="Z473" s="213"/>
      <c r="AA473" s="213"/>
      <c r="AB473" s="213"/>
      <c r="AC473" s="213"/>
      <c r="AD473" s="213"/>
    </row>
    <row r="474" ht="15.75" customHeight="1">
      <c r="A474" s="257"/>
      <c r="B474" s="213"/>
      <c r="C474" s="213"/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3"/>
      <c r="V474" s="213"/>
      <c r="W474" s="213"/>
      <c r="X474" s="213"/>
      <c r="Y474" s="213"/>
      <c r="Z474" s="213"/>
      <c r="AA474" s="213"/>
      <c r="AB474" s="213"/>
      <c r="AC474" s="213"/>
      <c r="AD474" s="213"/>
    </row>
    <row r="475" ht="15.75" customHeight="1">
      <c r="A475" s="257"/>
      <c r="B475" s="213"/>
      <c r="C475" s="213"/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3"/>
      <c r="W475" s="213"/>
      <c r="X475" s="213"/>
      <c r="Y475" s="213"/>
      <c r="Z475" s="213"/>
      <c r="AA475" s="213"/>
      <c r="AB475" s="213"/>
      <c r="AC475" s="213"/>
      <c r="AD475" s="213"/>
    </row>
    <row r="476" ht="15.75" customHeight="1">
      <c r="A476" s="257"/>
      <c r="B476" s="213"/>
      <c r="C476" s="213"/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3"/>
      <c r="Y476" s="213"/>
      <c r="Z476" s="213"/>
      <c r="AA476" s="213"/>
      <c r="AB476" s="213"/>
      <c r="AC476" s="213"/>
      <c r="AD476" s="213"/>
    </row>
    <row r="477" ht="15.75" customHeight="1">
      <c r="A477" s="257"/>
      <c r="B477" s="213"/>
      <c r="C477" s="213"/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3"/>
      <c r="Z477" s="213"/>
      <c r="AA477" s="213"/>
      <c r="AB477" s="213"/>
      <c r="AC477" s="213"/>
      <c r="AD477" s="213"/>
    </row>
    <row r="478" ht="15.75" customHeight="1">
      <c r="A478" s="257"/>
      <c r="B478" s="213"/>
      <c r="C478" s="213"/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  <c r="Z478" s="213"/>
      <c r="AA478" s="213"/>
      <c r="AB478" s="213"/>
      <c r="AC478" s="213"/>
      <c r="AD478" s="213"/>
    </row>
    <row r="479" ht="15.75" customHeight="1">
      <c r="A479" s="257"/>
      <c r="B479" s="213"/>
      <c r="C479" s="213"/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  <c r="AA479" s="213"/>
      <c r="AB479" s="213"/>
      <c r="AC479" s="213"/>
      <c r="AD479" s="213"/>
    </row>
    <row r="480" ht="15.75" customHeight="1">
      <c r="A480" s="257"/>
      <c r="B480" s="213"/>
      <c r="C480" s="213"/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  <c r="AA480" s="213"/>
      <c r="AB480" s="213"/>
      <c r="AC480" s="213"/>
      <c r="AD480" s="213"/>
    </row>
    <row r="481" ht="15.75" customHeight="1">
      <c r="A481" s="257"/>
      <c r="B481" s="213"/>
      <c r="C481" s="213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  <c r="AA481" s="213"/>
      <c r="AB481" s="213"/>
      <c r="AC481" s="213"/>
      <c r="AD481" s="213"/>
    </row>
    <row r="482" ht="15.75" customHeight="1">
      <c r="A482" s="257"/>
      <c r="B482" s="213"/>
      <c r="C482" s="213"/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  <c r="AA482" s="213"/>
      <c r="AB482" s="213"/>
      <c r="AC482" s="213"/>
      <c r="AD482" s="213"/>
    </row>
    <row r="483" ht="15.75" customHeight="1">
      <c r="A483" s="257"/>
      <c r="B483" s="213"/>
      <c r="C483" s="213"/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  <c r="AA483" s="213"/>
      <c r="AB483" s="213"/>
      <c r="AC483" s="213"/>
      <c r="AD483" s="213"/>
    </row>
    <row r="484" ht="15.75" customHeight="1">
      <c r="A484" s="257"/>
      <c r="B484" s="213"/>
      <c r="C484" s="213"/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  <c r="AA484" s="213"/>
      <c r="AB484" s="213"/>
      <c r="AC484" s="213"/>
      <c r="AD484" s="213"/>
    </row>
    <row r="485" ht="15.75" customHeight="1">
      <c r="A485" s="257"/>
      <c r="B485" s="213"/>
      <c r="C485" s="213"/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  <c r="AA485" s="213"/>
      <c r="AB485" s="213"/>
      <c r="AC485" s="213"/>
      <c r="AD485" s="213"/>
    </row>
    <row r="486" ht="15.75" customHeight="1">
      <c r="A486" s="257"/>
      <c r="B486" s="213"/>
      <c r="C486" s="213"/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  <c r="AA486" s="213"/>
      <c r="AB486" s="213"/>
      <c r="AC486" s="213"/>
      <c r="AD486" s="213"/>
    </row>
    <row r="487" ht="15.75" customHeight="1">
      <c r="A487" s="257"/>
      <c r="B487" s="213"/>
      <c r="C487" s="213"/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  <c r="AA487" s="213"/>
      <c r="AB487" s="213"/>
      <c r="AC487" s="213"/>
      <c r="AD487" s="213"/>
    </row>
    <row r="488" ht="15.75" customHeight="1">
      <c r="A488" s="257"/>
      <c r="B488" s="213"/>
      <c r="C488" s="213"/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  <c r="AA488" s="213"/>
      <c r="AB488" s="213"/>
      <c r="AC488" s="213"/>
      <c r="AD488" s="213"/>
    </row>
    <row r="489" ht="15.75" customHeight="1">
      <c r="A489" s="257"/>
      <c r="B489" s="213"/>
      <c r="C489" s="213"/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  <c r="AA489" s="213"/>
      <c r="AB489" s="213"/>
      <c r="AC489" s="213"/>
      <c r="AD489" s="213"/>
    </row>
    <row r="490" ht="15.75" customHeight="1">
      <c r="A490" s="257"/>
      <c r="B490" s="213"/>
      <c r="C490" s="213"/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  <c r="AA490" s="213"/>
      <c r="AB490" s="213"/>
      <c r="AC490" s="213"/>
      <c r="AD490" s="213"/>
    </row>
    <row r="491" ht="15.75" customHeight="1">
      <c r="A491" s="257"/>
      <c r="B491" s="213"/>
      <c r="C491" s="213"/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  <c r="AA491" s="213"/>
      <c r="AB491" s="213"/>
      <c r="AC491" s="213"/>
      <c r="AD491" s="213"/>
    </row>
    <row r="492" ht="15.75" customHeight="1">
      <c r="A492" s="257"/>
      <c r="B492" s="213"/>
      <c r="C492" s="213"/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  <c r="AA492" s="213"/>
      <c r="AB492" s="213"/>
      <c r="AC492" s="213"/>
      <c r="AD492" s="213"/>
    </row>
    <row r="493" ht="15.75" customHeight="1">
      <c r="A493" s="257"/>
      <c r="B493" s="213"/>
      <c r="C493" s="213"/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  <c r="AA493" s="213"/>
      <c r="AB493" s="213"/>
      <c r="AC493" s="213"/>
      <c r="AD493" s="213"/>
    </row>
    <row r="494" ht="15.75" customHeight="1">
      <c r="A494" s="257"/>
      <c r="B494" s="213"/>
      <c r="C494" s="213"/>
      <c r="D494" s="213"/>
      <c r="E494" s="213"/>
      <c r="F494" s="213"/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  <c r="Q494" s="213"/>
      <c r="R494" s="213"/>
      <c r="S494" s="213"/>
      <c r="T494" s="213"/>
      <c r="U494" s="213"/>
      <c r="V494" s="213"/>
      <c r="W494" s="213"/>
      <c r="X494" s="213"/>
      <c r="Y494" s="213"/>
      <c r="Z494" s="213"/>
      <c r="AA494" s="213"/>
      <c r="AB494" s="213"/>
      <c r="AC494" s="213"/>
      <c r="AD494" s="213"/>
    </row>
    <row r="495" ht="15.75" customHeight="1">
      <c r="A495" s="257"/>
      <c r="B495" s="213"/>
      <c r="C495" s="213"/>
      <c r="D495" s="213"/>
      <c r="E495" s="213"/>
      <c r="F495" s="213"/>
      <c r="G495" s="213"/>
      <c r="H495" s="213"/>
      <c r="I495" s="213"/>
      <c r="J495" s="213"/>
      <c r="K495" s="213"/>
      <c r="L495" s="213"/>
      <c r="M495" s="213"/>
      <c r="N495" s="213"/>
      <c r="O495" s="213"/>
      <c r="P495" s="213"/>
      <c r="Q495" s="213"/>
      <c r="R495" s="213"/>
      <c r="S495" s="213"/>
      <c r="T495" s="213"/>
      <c r="U495" s="213"/>
      <c r="V495" s="213"/>
      <c r="W495" s="213"/>
      <c r="X495" s="213"/>
      <c r="Y495" s="213"/>
      <c r="Z495" s="213"/>
      <c r="AA495" s="213"/>
      <c r="AB495" s="213"/>
      <c r="AC495" s="213"/>
      <c r="AD495" s="213"/>
    </row>
    <row r="496" ht="15.75" customHeight="1">
      <c r="A496" s="257"/>
      <c r="B496" s="213"/>
      <c r="C496" s="213"/>
      <c r="D496" s="213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  <c r="Q496" s="213"/>
      <c r="R496" s="213"/>
      <c r="S496" s="213"/>
      <c r="T496" s="213"/>
      <c r="U496" s="213"/>
      <c r="V496" s="213"/>
      <c r="W496" s="213"/>
      <c r="X496" s="213"/>
      <c r="Y496" s="213"/>
      <c r="Z496" s="213"/>
      <c r="AA496" s="213"/>
      <c r="AB496" s="213"/>
      <c r="AC496" s="213"/>
      <c r="AD496" s="213"/>
    </row>
    <row r="497" ht="15.75" customHeight="1">
      <c r="A497" s="257"/>
      <c r="B497" s="213"/>
      <c r="C497" s="213"/>
      <c r="D497" s="213"/>
      <c r="E497" s="213"/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  <c r="Q497" s="213"/>
      <c r="R497" s="213"/>
      <c r="S497" s="213"/>
      <c r="T497" s="213"/>
      <c r="U497" s="213"/>
      <c r="V497" s="213"/>
      <c r="W497" s="213"/>
      <c r="X497" s="213"/>
      <c r="Y497" s="213"/>
      <c r="Z497" s="213"/>
      <c r="AA497" s="213"/>
      <c r="AB497" s="213"/>
      <c r="AC497" s="213"/>
      <c r="AD497" s="213"/>
    </row>
    <row r="498" ht="15.75" customHeight="1">
      <c r="A498" s="257"/>
      <c r="B498" s="213"/>
      <c r="C498" s="213"/>
      <c r="D498" s="213"/>
      <c r="E498" s="213"/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  <c r="Q498" s="213"/>
      <c r="R498" s="213"/>
      <c r="S498" s="213"/>
      <c r="T498" s="213"/>
      <c r="U498" s="213"/>
      <c r="V498" s="213"/>
      <c r="W498" s="213"/>
      <c r="X498" s="213"/>
      <c r="Y498" s="213"/>
      <c r="Z498" s="213"/>
      <c r="AA498" s="213"/>
      <c r="AB498" s="213"/>
      <c r="AC498" s="213"/>
      <c r="AD498" s="213"/>
    </row>
    <row r="499" ht="15.75" customHeight="1">
      <c r="A499" s="257"/>
      <c r="B499" s="213"/>
      <c r="C499" s="213"/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  <c r="Q499" s="213"/>
      <c r="R499" s="213"/>
      <c r="S499" s="213"/>
      <c r="T499" s="213"/>
      <c r="U499" s="213"/>
      <c r="V499" s="213"/>
      <c r="W499" s="213"/>
      <c r="X499" s="213"/>
      <c r="Y499" s="213"/>
      <c r="Z499" s="213"/>
      <c r="AA499" s="213"/>
      <c r="AB499" s="213"/>
      <c r="AC499" s="213"/>
      <c r="AD499" s="213"/>
    </row>
    <row r="500" ht="15.75" customHeight="1">
      <c r="A500" s="257"/>
      <c r="B500" s="213"/>
      <c r="C500" s="213"/>
      <c r="D500" s="213"/>
      <c r="E500" s="213"/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  <c r="Q500" s="213"/>
      <c r="R500" s="213"/>
      <c r="S500" s="213"/>
      <c r="T500" s="213"/>
      <c r="U500" s="213"/>
      <c r="V500" s="213"/>
      <c r="W500" s="213"/>
      <c r="X500" s="213"/>
      <c r="Y500" s="213"/>
      <c r="Z500" s="213"/>
      <c r="AA500" s="213"/>
      <c r="AB500" s="213"/>
      <c r="AC500" s="213"/>
      <c r="AD500" s="213"/>
    </row>
    <row r="501" ht="15.75" customHeight="1">
      <c r="A501" s="257"/>
      <c r="B501" s="213"/>
      <c r="C501" s="213"/>
      <c r="D501" s="213"/>
      <c r="E501" s="213"/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  <c r="Q501" s="213"/>
      <c r="R501" s="213"/>
      <c r="S501" s="213"/>
      <c r="T501" s="213"/>
      <c r="U501" s="213"/>
      <c r="V501" s="213"/>
      <c r="W501" s="213"/>
      <c r="X501" s="213"/>
      <c r="Y501" s="213"/>
      <c r="Z501" s="213"/>
      <c r="AA501" s="213"/>
      <c r="AB501" s="213"/>
      <c r="AC501" s="213"/>
      <c r="AD501" s="213"/>
    </row>
    <row r="502" ht="15.75" customHeight="1">
      <c r="A502" s="257"/>
      <c r="B502" s="213"/>
      <c r="C502" s="213"/>
      <c r="D502" s="213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  <c r="Q502" s="213"/>
      <c r="R502" s="213"/>
      <c r="S502" s="213"/>
      <c r="T502" s="213"/>
      <c r="U502" s="213"/>
      <c r="V502" s="213"/>
      <c r="W502" s="213"/>
      <c r="X502" s="213"/>
      <c r="Y502" s="213"/>
      <c r="Z502" s="213"/>
      <c r="AA502" s="213"/>
      <c r="AB502" s="213"/>
      <c r="AC502" s="213"/>
      <c r="AD502" s="213"/>
    </row>
    <row r="503" ht="15.75" customHeight="1">
      <c r="A503" s="257"/>
      <c r="B503" s="213"/>
      <c r="C503" s="213"/>
      <c r="D503" s="213"/>
      <c r="E503" s="213"/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  <c r="Q503" s="213"/>
      <c r="R503" s="213"/>
      <c r="S503" s="213"/>
      <c r="T503" s="213"/>
      <c r="U503" s="213"/>
      <c r="V503" s="213"/>
      <c r="W503" s="213"/>
      <c r="X503" s="213"/>
      <c r="Y503" s="213"/>
      <c r="Z503" s="213"/>
      <c r="AA503" s="213"/>
      <c r="AB503" s="213"/>
      <c r="AC503" s="213"/>
      <c r="AD503" s="213"/>
    </row>
    <row r="504" ht="15.75" customHeight="1">
      <c r="A504" s="257"/>
      <c r="B504" s="213"/>
      <c r="C504" s="213"/>
      <c r="D504" s="213"/>
      <c r="E504" s="213"/>
      <c r="F504" s="213"/>
      <c r="G504" s="213"/>
      <c r="H504" s="213"/>
      <c r="I504" s="213"/>
      <c r="J504" s="213"/>
      <c r="K504" s="213"/>
      <c r="L504" s="213"/>
      <c r="M504" s="213"/>
      <c r="N504" s="213"/>
      <c r="O504" s="213"/>
      <c r="P504" s="213"/>
      <c r="Q504" s="213"/>
      <c r="R504" s="213"/>
      <c r="S504" s="213"/>
      <c r="T504" s="213"/>
      <c r="U504" s="213"/>
      <c r="V504" s="213"/>
      <c r="W504" s="213"/>
      <c r="X504" s="213"/>
      <c r="Y504" s="213"/>
      <c r="Z504" s="213"/>
      <c r="AA504" s="213"/>
      <c r="AB504" s="213"/>
      <c r="AC504" s="213"/>
      <c r="AD504" s="213"/>
    </row>
    <row r="505" ht="15.75" customHeight="1">
      <c r="A505" s="257"/>
      <c r="B505" s="213"/>
      <c r="C505" s="213"/>
      <c r="D505" s="213"/>
      <c r="E505" s="213"/>
      <c r="F505" s="213"/>
      <c r="G505" s="213"/>
      <c r="H505" s="213"/>
      <c r="I505" s="213"/>
      <c r="J505" s="213"/>
      <c r="K505" s="213"/>
      <c r="L505" s="213"/>
      <c r="M505" s="213"/>
      <c r="N505" s="213"/>
      <c r="O505" s="213"/>
      <c r="P505" s="213"/>
      <c r="Q505" s="213"/>
      <c r="R505" s="213"/>
      <c r="S505" s="213"/>
      <c r="T505" s="213"/>
      <c r="U505" s="213"/>
      <c r="V505" s="213"/>
      <c r="W505" s="213"/>
      <c r="X505" s="213"/>
      <c r="Y505" s="213"/>
      <c r="Z505" s="213"/>
      <c r="AA505" s="213"/>
      <c r="AB505" s="213"/>
      <c r="AC505" s="213"/>
      <c r="AD505" s="213"/>
    </row>
    <row r="506" ht="15.75" customHeight="1">
      <c r="A506" s="257"/>
      <c r="B506" s="213"/>
      <c r="C506" s="213"/>
      <c r="D506" s="213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13"/>
      <c r="Q506" s="213"/>
      <c r="R506" s="213"/>
      <c r="S506" s="213"/>
      <c r="T506" s="213"/>
      <c r="U506" s="213"/>
      <c r="V506" s="213"/>
      <c r="W506" s="213"/>
      <c r="X506" s="213"/>
      <c r="Y506" s="213"/>
      <c r="Z506" s="213"/>
      <c r="AA506" s="213"/>
      <c r="AB506" s="213"/>
      <c r="AC506" s="213"/>
      <c r="AD506" s="213"/>
    </row>
    <row r="507" ht="15.75" customHeight="1">
      <c r="A507" s="257"/>
      <c r="B507" s="213"/>
      <c r="C507" s="213"/>
      <c r="D507" s="213"/>
      <c r="E507" s="213"/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  <c r="Q507" s="213"/>
      <c r="R507" s="213"/>
      <c r="S507" s="213"/>
      <c r="T507" s="213"/>
      <c r="U507" s="213"/>
      <c r="V507" s="213"/>
      <c r="W507" s="213"/>
      <c r="X507" s="213"/>
      <c r="Y507" s="213"/>
      <c r="Z507" s="213"/>
      <c r="AA507" s="213"/>
      <c r="AB507" s="213"/>
      <c r="AC507" s="213"/>
      <c r="AD507" s="213"/>
    </row>
    <row r="508" ht="15.75" customHeight="1">
      <c r="A508" s="257"/>
      <c r="B508" s="213"/>
      <c r="C508" s="213"/>
      <c r="D508" s="213"/>
      <c r="E508" s="213"/>
      <c r="F508" s="213"/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  <c r="Q508" s="213"/>
      <c r="R508" s="213"/>
      <c r="S508" s="213"/>
      <c r="T508" s="213"/>
      <c r="U508" s="213"/>
      <c r="V508" s="213"/>
      <c r="W508" s="213"/>
      <c r="X508" s="213"/>
      <c r="Y508" s="213"/>
      <c r="Z508" s="213"/>
      <c r="AA508" s="213"/>
      <c r="AB508" s="213"/>
      <c r="AC508" s="213"/>
      <c r="AD508" s="213"/>
    </row>
    <row r="509" ht="15.75" customHeight="1">
      <c r="A509" s="257"/>
      <c r="B509" s="213"/>
      <c r="C509" s="213"/>
      <c r="D509" s="213"/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13"/>
      <c r="S509" s="213"/>
      <c r="T509" s="213"/>
      <c r="U509" s="213"/>
      <c r="V509" s="213"/>
      <c r="W509" s="213"/>
      <c r="X509" s="213"/>
      <c r="Y509" s="213"/>
      <c r="Z509" s="213"/>
      <c r="AA509" s="213"/>
      <c r="AB509" s="213"/>
      <c r="AC509" s="213"/>
      <c r="AD509" s="213"/>
    </row>
    <row r="510" ht="15.75" customHeight="1">
      <c r="A510" s="257"/>
      <c r="B510" s="213"/>
      <c r="C510" s="213"/>
      <c r="D510" s="213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13"/>
      <c r="S510" s="213"/>
      <c r="T510" s="213"/>
      <c r="U510" s="213"/>
      <c r="V510" s="213"/>
      <c r="W510" s="213"/>
      <c r="X510" s="213"/>
      <c r="Y510" s="213"/>
      <c r="Z510" s="213"/>
      <c r="AA510" s="213"/>
      <c r="AB510" s="213"/>
      <c r="AC510" s="213"/>
      <c r="AD510" s="213"/>
    </row>
    <row r="511" ht="15.75" customHeight="1">
      <c r="A511" s="257"/>
      <c r="B511" s="213"/>
      <c r="C511" s="213"/>
      <c r="D511" s="213"/>
      <c r="E511" s="213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/>
      <c r="R511" s="213"/>
      <c r="S511" s="213"/>
      <c r="T511" s="213"/>
      <c r="U511" s="213"/>
      <c r="V511" s="213"/>
      <c r="W511" s="213"/>
      <c r="X511" s="213"/>
      <c r="Y511" s="213"/>
      <c r="Z511" s="213"/>
      <c r="AA511" s="213"/>
      <c r="AB511" s="213"/>
      <c r="AC511" s="213"/>
      <c r="AD511" s="213"/>
    </row>
    <row r="512" ht="15.75" customHeight="1">
      <c r="A512" s="257"/>
      <c r="B512" s="213"/>
      <c r="C512" s="213"/>
      <c r="D512" s="213"/>
      <c r="E512" s="213"/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  <c r="S512" s="213"/>
      <c r="T512" s="213"/>
      <c r="U512" s="213"/>
      <c r="V512" s="213"/>
      <c r="W512" s="213"/>
      <c r="X512" s="213"/>
      <c r="Y512" s="213"/>
      <c r="Z512" s="213"/>
      <c r="AA512" s="213"/>
      <c r="AB512" s="213"/>
      <c r="AC512" s="213"/>
      <c r="AD512" s="213"/>
    </row>
    <row r="513" ht="15.75" customHeight="1">
      <c r="A513" s="257"/>
      <c r="B513" s="213"/>
      <c r="C513" s="213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13"/>
      <c r="S513" s="213"/>
      <c r="T513" s="213"/>
      <c r="U513" s="213"/>
      <c r="V513" s="213"/>
      <c r="W513" s="213"/>
      <c r="X513" s="213"/>
      <c r="Y513" s="213"/>
      <c r="Z513" s="213"/>
      <c r="AA513" s="213"/>
      <c r="AB513" s="213"/>
      <c r="AC513" s="213"/>
      <c r="AD513" s="213"/>
    </row>
    <row r="514" ht="15.75" customHeight="1">
      <c r="A514" s="257"/>
      <c r="B514" s="213"/>
      <c r="C514" s="213"/>
      <c r="D514" s="213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  <c r="Q514" s="213"/>
      <c r="R514" s="213"/>
      <c r="S514" s="213"/>
      <c r="T514" s="213"/>
      <c r="U514" s="213"/>
      <c r="V514" s="213"/>
      <c r="W514" s="213"/>
      <c r="X514" s="213"/>
      <c r="Y514" s="213"/>
      <c r="Z514" s="213"/>
      <c r="AA514" s="213"/>
      <c r="AB514" s="213"/>
      <c r="AC514" s="213"/>
      <c r="AD514" s="213"/>
    </row>
    <row r="515" ht="15.75" customHeight="1">
      <c r="A515" s="257"/>
      <c r="B515" s="213"/>
      <c r="C515" s="213"/>
      <c r="D515" s="213"/>
      <c r="E515" s="213"/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  <c r="Q515" s="213"/>
      <c r="R515" s="213"/>
      <c r="S515" s="213"/>
      <c r="T515" s="213"/>
      <c r="U515" s="213"/>
      <c r="V515" s="213"/>
      <c r="W515" s="213"/>
      <c r="X515" s="213"/>
      <c r="Y515" s="213"/>
      <c r="Z515" s="213"/>
      <c r="AA515" s="213"/>
      <c r="AB515" s="213"/>
      <c r="AC515" s="213"/>
      <c r="AD515" s="213"/>
    </row>
    <row r="516" ht="15.75" customHeight="1">
      <c r="A516" s="257"/>
      <c r="B516" s="213"/>
      <c r="C516" s="213"/>
      <c r="D516" s="213"/>
      <c r="E516" s="213"/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  <c r="Q516" s="213"/>
      <c r="R516" s="213"/>
      <c r="S516" s="213"/>
      <c r="T516" s="213"/>
      <c r="U516" s="213"/>
      <c r="V516" s="213"/>
      <c r="W516" s="213"/>
      <c r="X516" s="213"/>
      <c r="Y516" s="213"/>
      <c r="Z516" s="213"/>
      <c r="AA516" s="213"/>
      <c r="AB516" s="213"/>
      <c r="AC516" s="213"/>
      <c r="AD516" s="213"/>
    </row>
    <row r="517" ht="15.75" customHeight="1">
      <c r="A517" s="257"/>
      <c r="B517" s="213"/>
      <c r="C517" s="213"/>
      <c r="D517" s="213"/>
      <c r="E517" s="213"/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  <c r="Q517" s="213"/>
      <c r="R517" s="213"/>
      <c r="S517" s="213"/>
      <c r="T517" s="213"/>
      <c r="U517" s="213"/>
      <c r="V517" s="213"/>
      <c r="W517" s="213"/>
      <c r="X517" s="213"/>
      <c r="Y517" s="213"/>
      <c r="Z517" s="213"/>
      <c r="AA517" s="213"/>
      <c r="AB517" s="213"/>
      <c r="AC517" s="213"/>
      <c r="AD517" s="213"/>
    </row>
    <row r="518" ht="15.75" customHeight="1">
      <c r="A518" s="257"/>
      <c r="B518" s="213"/>
      <c r="C518" s="213"/>
      <c r="D518" s="213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13"/>
      <c r="Q518" s="213"/>
      <c r="R518" s="213"/>
      <c r="S518" s="213"/>
      <c r="T518" s="213"/>
      <c r="U518" s="213"/>
      <c r="V518" s="213"/>
      <c r="W518" s="213"/>
      <c r="X518" s="213"/>
      <c r="Y518" s="213"/>
      <c r="Z518" s="213"/>
      <c r="AA518" s="213"/>
      <c r="AB518" s="213"/>
      <c r="AC518" s="213"/>
      <c r="AD518" s="213"/>
    </row>
    <row r="519" ht="15.75" customHeight="1">
      <c r="A519" s="257"/>
      <c r="B519" s="213"/>
      <c r="C519" s="213"/>
      <c r="D519" s="213"/>
      <c r="E519" s="213"/>
      <c r="F519" s="213"/>
      <c r="G519" s="213"/>
      <c r="H519" s="213"/>
      <c r="I519" s="213"/>
      <c r="J519" s="213"/>
      <c r="K519" s="213"/>
      <c r="L519" s="213"/>
      <c r="M519" s="213"/>
      <c r="N519" s="213"/>
      <c r="O519" s="213"/>
      <c r="P519" s="213"/>
      <c r="Q519" s="213"/>
      <c r="R519" s="213"/>
      <c r="S519" s="213"/>
      <c r="T519" s="213"/>
      <c r="U519" s="213"/>
      <c r="V519" s="213"/>
      <c r="W519" s="213"/>
      <c r="X519" s="213"/>
      <c r="Y519" s="213"/>
      <c r="Z519" s="213"/>
      <c r="AA519" s="213"/>
      <c r="AB519" s="213"/>
      <c r="AC519" s="213"/>
      <c r="AD519" s="213"/>
    </row>
    <row r="520" ht="15.75" customHeight="1">
      <c r="A520" s="257"/>
      <c r="B520" s="213"/>
      <c r="C520" s="213"/>
      <c r="D520" s="213"/>
      <c r="E520" s="213"/>
      <c r="F520" s="213"/>
      <c r="G520" s="213"/>
      <c r="H520" s="213"/>
      <c r="I520" s="213"/>
      <c r="J520" s="213"/>
      <c r="K520" s="213"/>
      <c r="L520" s="213"/>
      <c r="M520" s="213"/>
      <c r="N520" s="213"/>
      <c r="O520" s="213"/>
      <c r="P520" s="213"/>
      <c r="Q520" s="213"/>
      <c r="R520" s="213"/>
      <c r="S520" s="213"/>
      <c r="T520" s="213"/>
      <c r="U520" s="213"/>
      <c r="V520" s="213"/>
      <c r="W520" s="213"/>
      <c r="X520" s="213"/>
      <c r="Y520" s="213"/>
      <c r="Z520" s="213"/>
      <c r="AA520" s="213"/>
      <c r="AB520" s="213"/>
      <c r="AC520" s="213"/>
      <c r="AD520" s="213"/>
    </row>
    <row r="521" ht="15.75" customHeight="1">
      <c r="A521" s="257"/>
      <c r="B521" s="213"/>
      <c r="C521" s="213"/>
      <c r="D521" s="213"/>
      <c r="E521" s="213"/>
      <c r="F521" s="213"/>
      <c r="G521" s="213"/>
      <c r="H521" s="213"/>
      <c r="I521" s="213"/>
      <c r="J521" s="213"/>
      <c r="K521" s="213"/>
      <c r="L521" s="213"/>
      <c r="M521" s="213"/>
      <c r="N521" s="213"/>
      <c r="O521" s="213"/>
      <c r="P521" s="213"/>
      <c r="Q521" s="213"/>
      <c r="R521" s="213"/>
      <c r="S521" s="213"/>
      <c r="T521" s="213"/>
      <c r="U521" s="213"/>
      <c r="V521" s="213"/>
      <c r="W521" s="213"/>
      <c r="X521" s="213"/>
      <c r="Y521" s="213"/>
      <c r="Z521" s="213"/>
      <c r="AA521" s="213"/>
      <c r="AB521" s="213"/>
      <c r="AC521" s="213"/>
      <c r="AD521" s="213"/>
    </row>
    <row r="522" ht="15.75" customHeight="1">
      <c r="A522" s="257"/>
      <c r="B522" s="213"/>
      <c r="C522" s="213"/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  <c r="Q522" s="213"/>
      <c r="R522" s="213"/>
      <c r="S522" s="213"/>
      <c r="T522" s="213"/>
      <c r="U522" s="213"/>
      <c r="V522" s="213"/>
      <c r="W522" s="213"/>
      <c r="X522" s="213"/>
      <c r="Y522" s="213"/>
      <c r="Z522" s="213"/>
      <c r="AA522" s="213"/>
      <c r="AB522" s="213"/>
      <c r="AC522" s="213"/>
      <c r="AD522" s="213"/>
    </row>
    <row r="523" ht="15.75" customHeight="1">
      <c r="A523" s="257"/>
      <c r="B523" s="213"/>
      <c r="C523" s="213"/>
      <c r="D523" s="213"/>
      <c r="E523" s="213"/>
      <c r="F523" s="213"/>
      <c r="G523" s="213"/>
      <c r="H523" s="213"/>
      <c r="I523" s="213"/>
      <c r="J523" s="213"/>
      <c r="K523" s="213"/>
      <c r="L523" s="213"/>
      <c r="M523" s="213"/>
      <c r="N523" s="213"/>
      <c r="O523" s="213"/>
      <c r="P523" s="213"/>
      <c r="Q523" s="213"/>
      <c r="R523" s="213"/>
      <c r="S523" s="213"/>
      <c r="T523" s="213"/>
      <c r="U523" s="213"/>
      <c r="V523" s="213"/>
      <c r="W523" s="213"/>
      <c r="X523" s="213"/>
      <c r="Y523" s="213"/>
      <c r="Z523" s="213"/>
      <c r="AA523" s="213"/>
      <c r="AB523" s="213"/>
      <c r="AC523" s="213"/>
      <c r="AD523" s="213"/>
    </row>
    <row r="524" ht="15.75" customHeight="1">
      <c r="A524" s="257"/>
      <c r="B524" s="213"/>
      <c r="C524" s="213"/>
      <c r="D524" s="213"/>
      <c r="E524" s="213"/>
      <c r="F524" s="213"/>
      <c r="G524" s="213"/>
      <c r="H524" s="213"/>
      <c r="I524" s="213"/>
      <c r="J524" s="213"/>
      <c r="K524" s="213"/>
      <c r="L524" s="213"/>
      <c r="M524" s="213"/>
      <c r="N524" s="213"/>
      <c r="O524" s="213"/>
      <c r="P524" s="213"/>
      <c r="Q524" s="213"/>
      <c r="R524" s="213"/>
      <c r="S524" s="213"/>
      <c r="T524" s="213"/>
      <c r="U524" s="213"/>
      <c r="V524" s="213"/>
      <c r="W524" s="213"/>
      <c r="X524" s="213"/>
      <c r="Y524" s="213"/>
      <c r="Z524" s="213"/>
      <c r="AA524" s="213"/>
      <c r="AB524" s="213"/>
      <c r="AC524" s="213"/>
      <c r="AD524" s="213"/>
    </row>
    <row r="525" ht="15.75" customHeight="1">
      <c r="A525" s="257"/>
      <c r="B525" s="213"/>
      <c r="C525" s="213"/>
      <c r="D525" s="213"/>
      <c r="E525" s="213"/>
      <c r="F525" s="213"/>
      <c r="G525" s="213"/>
      <c r="H525" s="213"/>
      <c r="I525" s="213"/>
      <c r="J525" s="213"/>
      <c r="K525" s="213"/>
      <c r="L525" s="213"/>
      <c r="M525" s="213"/>
      <c r="N525" s="213"/>
      <c r="O525" s="213"/>
      <c r="P525" s="213"/>
      <c r="Q525" s="213"/>
      <c r="R525" s="213"/>
      <c r="S525" s="213"/>
      <c r="T525" s="213"/>
      <c r="U525" s="213"/>
      <c r="V525" s="213"/>
      <c r="W525" s="213"/>
      <c r="X525" s="213"/>
      <c r="Y525" s="213"/>
      <c r="Z525" s="213"/>
      <c r="AA525" s="213"/>
      <c r="AB525" s="213"/>
      <c r="AC525" s="213"/>
      <c r="AD525" s="213"/>
    </row>
    <row r="526" ht="15.75" customHeight="1">
      <c r="A526" s="257"/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  <c r="Q526" s="213"/>
      <c r="R526" s="213"/>
      <c r="S526" s="213"/>
      <c r="T526" s="213"/>
      <c r="U526" s="213"/>
      <c r="V526" s="213"/>
      <c r="W526" s="213"/>
      <c r="X526" s="213"/>
      <c r="Y526" s="213"/>
      <c r="Z526" s="213"/>
      <c r="AA526" s="213"/>
      <c r="AB526" s="213"/>
      <c r="AC526" s="213"/>
      <c r="AD526" s="213"/>
    </row>
    <row r="527" ht="15.75" customHeight="1">
      <c r="A527" s="257"/>
      <c r="B527" s="213"/>
      <c r="C527" s="213"/>
      <c r="D527" s="213"/>
      <c r="E527" s="213"/>
      <c r="F527" s="213"/>
      <c r="G527" s="213"/>
      <c r="H527" s="213"/>
      <c r="I527" s="213"/>
      <c r="J527" s="213"/>
      <c r="K527" s="213"/>
      <c r="L527" s="213"/>
      <c r="M527" s="213"/>
      <c r="N527" s="213"/>
      <c r="O527" s="213"/>
      <c r="P527" s="213"/>
      <c r="Q527" s="213"/>
      <c r="R527" s="213"/>
      <c r="S527" s="213"/>
      <c r="T527" s="213"/>
      <c r="U527" s="213"/>
      <c r="V527" s="213"/>
      <c r="W527" s="213"/>
      <c r="X527" s="213"/>
      <c r="Y527" s="213"/>
      <c r="Z527" s="213"/>
      <c r="AA527" s="213"/>
      <c r="AB527" s="213"/>
      <c r="AC527" s="213"/>
      <c r="AD527" s="213"/>
    </row>
    <row r="528" ht="15.75" customHeight="1">
      <c r="A528" s="257"/>
      <c r="B528" s="213"/>
      <c r="C528" s="213"/>
      <c r="D528" s="213"/>
      <c r="E528" s="213"/>
      <c r="F528" s="213"/>
      <c r="G528" s="213"/>
      <c r="H528" s="213"/>
      <c r="I528" s="213"/>
      <c r="J528" s="213"/>
      <c r="K528" s="213"/>
      <c r="L528" s="213"/>
      <c r="M528" s="213"/>
      <c r="N528" s="213"/>
      <c r="O528" s="213"/>
      <c r="P528" s="213"/>
      <c r="Q528" s="213"/>
      <c r="R528" s="213"/>
      <c r="S528" s="213"/>
      <c r="T528" s="213"/>
      <c r="U528" s="213"/>
      <c r="V528" s="213"/>
      <c r="W528" s="213"/>
      <c r="X528" s="213"/>
      <c r="Y528" s="213"/>
      <c r="Z528" s="213"/>
      <c r="AA528" s="213"/>
      <c r="AB528" s="213"/>
      <c r="AC528" s="213"/>
      <c r="AD528" s="213"/>
    </row>
    <row r="529" ht="15.75" customHeight="1">
      <c r="A529" s="257"/>
      <c r="B529" s="213"/>
      <c r="C529" s="213"/>
      <c r="D529" s="213"/>
      <c r="E529" s="213"/>
      <c r="F529" s="213"/>
      <c r="G529" s="213"/>
      <c r="H529" s="213"/>
      <c r="I529" s="213"/>
      <c r="J529" s="213"/>
      <c r="K529" s="213"/>
      <c r="L529" s="213"/>
      <c r="M529" s="213"/>
      <c r="N529" s="213"/>
      <c r="O529" s="213"/>
      <c r="P529" s="213"/>
      <c r="Q529" s="213"/>
      <c r="R529" s="213"/>
      <c r="S529" s="213"/>
      <c r="T529" s="213"/>
      <c r="U529" s="213"/>
      <c r="V529" s="213"/>
      <c r="W529" s="213"/>
      <c r="X529" s="213"/>
      <c r="Y529" s="213"/>
      <c r="Z529" s="213"/>
      <c r="AA529" s="213"/>
      <c r="AB529" s="213"/>
      <c r="AC529" s="213"/>
      <c r="AD529" s="213"/>
    </row>
    <row r="530" ht="15.75" customHeight="1">
      <c r="A530" s="257"/>
      <c r="B530" s="213"/>
      <c r="C530" s="213"/>
      <c r="D530" s="213"/>
      <c r="E530" s="213"/>
      <c r="F530" s="213"/>
      <c r="G530" s="213"/>
      <c r="H530" s="213"/>
      <c r="I530" s="213"/>
      <c r="J530" s="213"/>
      <c r="K530" s="213"/>
      <c r="L530" s="213"/>
      <c r="M530" s="213"/>
      <c r="N530" s="213"/>
      <c r="O530" s="213"/>
      <c r="P530" s="213"/>
      <c r="Q530" s="213"/>
      <c r="R530" s="213"/>
      <c r="S530" s="213"/>
      <c r="T530" s="213"/>
      <c r="U530" s="213"/>
      <c r="V530" s="213"/>
      <c r="W530" s="213"/>
      <c r="X530" s="213"/>
      <c r="Y530" s="213"/>
      <c r="Z530" s="213"/>
      <c r="AA530" s="213"/>
      <c r="AB530" s="213"/>
      <c r="AC530" s="213"/>
      <c r="AD530" s="213"/>
    </row>
    <row r="531" ht="15.75" customHeight="1">
      <c r="A531" s="257"/>
      <c r="B531" s="213"/>
      <c r="C531" s="213"/>
      <c r="D531" s="213"/>
      <c r="E531" s="213"/>
      <c r="F531" s="213"/>
      <c r="G531" s="213"/>
      <c r="H531" s="213"/>
      <c r="I531" s="213"/>
      <c r="J531" s="213"/>
      <c r="K531" s="213"/>
      <c r="L531" s="213"/>
      <c r="M531" s="213"/>
      <c r="N531" s="213"/>
      <c r="O531" s="213"/>
      <c r="P531" s="213"/>
      <c r="Q531" s="213"/>
      <c r="R531" s="213"/>
      <c r="S531" s="213"/>
      <c r="T531" s="213"/>
      <c r="U531" s="213"/>
      <c r="V531" s="213"/>
      <c r="W531" s="213"/>
      <c r="X531" s="213"/>
      <c r="Y531" s="213"/>
      <c r="Z531" s="213"/>
      <c r="AA531" s="213"/>
      <c r="AB531" s="213"/>
      <c r="AC531" s="213"/>
      <c r="AD531" s="213"/>
    </row>
    <row r="532" ht="15.75" customHeight="1">
      <c r="A532" s="257"/>
      <c r="B532" s="213"/>
      <c r="C532" s="213"/>
      <c r="D532" s="213"/>
      <c r="E532" s="213"/>
      <c r="F532" s="213"/>
      <c r="G532" s="213"/>
      <c r="H532" s="213"/>
      <c r="I532" s="213"/>
      <c r="J532" s="213"/>
      <c r="K532" s="213"/>
      <c r="L532" s="213"/>
      <c r="M532" s="213"/>
      <c r="N532" s="213"/>
      <c r="O532" s="213"/>
      <c r="P532" s="213"/>
      <c r="Q532" s="213"/>
      <c r="R532" s="213"/>
      <c r="S532" s="213"/>
      <c r="T532" s="213"/>
      <c r="U532" s="213"/>
      <c r="V532" s="213"/>
      <c r="W532" s="213"/>
      <c r="X532" s="213"/>
      <c r="Y532" s="213"/>
      <c r="Z532" s="213"/>
      <c r="AA532" s="213"/>
      <c r="AB532" s="213"/>
      <c r="AC532" s="213"/>
      <c r="AD532" s="213"/>
    </row>
    <row r="533" ht="15.75" customHeight="1">
      <c r="A533" s="257"/>
      <c r="B533" s="213"/>
      <c r="C533" s="213"/>
      <c r="D533" s="213"/>
      <c r="E533" s="213"/>
      <c r="F533" s="213"/>
      <c r="G533" s="213"/>
      <c r="H533" s="213"/>
      <c r="I533" s="213"/>
      <c r="J533" s="213"/>
      <c r="K533" s="213"/>
      <c r="L533" s="213"/>
      <c r="M533" s="213"/>
      <c r="N533" s="213"/>
      <c r="O533" s="213"/>
      <c r="P533" s="213"/>
      <c r="Q533" s="213"/>
      <c r="R533" s="213"/>
      <c r="S533" s="213"/>
      <c r="T533" s="213"/>
      <c r="U533" s="213"/>
      <c r="V533" s="213"/>
      <c r="W533" s="213"/>
      <c r="X533" s="213"/>
      <c r="Y533" s="213"/>
      <c r="Z533" s="213"/>
      <c r="AA533" s="213"/>
      <c r="AB533" s="213"/>
      <c r="AC533" s="213"/>
      <c r="AD533" s="213"/>
    </row>
    <row r="534" ht="15.75" customHeight="1">
      <c r="A534" s="257"/>
      <c r="B534" s="213"/>
      <c r="C534" s="213"/>
      <c r="D534" s="213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13"/>
      <c r="Q534" s="213"/>
      <c r="R534" s="213"/>
      <c r="S534" s="213"/>
      <c r="T534" s="213"/>
      <c r="U534" s="213"/>
      <c r="V534" s="213"/>
      <c r="W534" s="213"/>
      <c r="X534" s="213"/>
      <c r="Y534" s="213"/>
      <c r="Z534" s="213"/>
      <c r="AA534" s="213"/>
      <c r="AB534" s="213"/>
      <c r="AC534" s="213"/>
      <c r="AD534" s="213"/>
    </row>
    <row r="535" ht="15.75" customHeight="1">
      <c r="A535" s="257"/>
      <c r="B535" s="213"/>
      <c r="C535" s="213"/>
      <c r="D535" s="213"/>
      <c r="E535" s="213"/>
      <c r="F535" s="213"/>
      <c r="G535" s="213"/>
      <c r="H535" s="213"/>
      <c r="I535" s="213"/>
      <c r="J535" s="213"/>
      <c r="K535" s="213"/>
      <c r="L535" s="213"/>
      <c r="M535" s="213"/>
      <c r="N535" s="213"/>
      <c r="O535" s="213"/>
      <c r="P535" s="213"/>
      <c r="Q535" s="213"/>
      <c r="R535" s="213"/>
      <c r="S535" s="213"/>
      <c r="T535" s="213"/>
      <c r="U535" s="213"/>
      <c r="V535" s="213"/>
      <c r="W535" s="213"/>
      <c r="X535" s="213"/>
      <c r="Y535" s="213"/>
      <c r="Z535" s="213"/>
      <c r="AA535" s="213"/>
      <c r="AB535" s="213"/>
      <c r="AC535" s="213"/>
      <c r="AD535" s="213"/>
    </row>
    <row r="536" ht="15.75" customHeight="1">
      <c r="A536" s="257"/>
      <c r="B536" s="213"/>
      <c r="C536" s="213"/>
      <c r="D536" s="213"/>
      <c r="E536" s="213"/>
      <c r="F536" s="213"/>
      <c r="G536" s="213"/>
      <c r="H536" s="213"/>
      <c r="I536" s="213"/>
      <c r="J536" s="213"/>
      <c r="K536" s="213"/>
      <c r="L536" s="213"/>
      <c r="M536" s="213"/>
      <c r="N536" s="213"/>
      <c r="O536" s="213"/>
      <c r="P536" s="213"/>
      <c r="Q536" s="213"/>
      <c r="R536" s="213"/>
      <c r="S536" s="213"/>
      <c r="T536" s="213"/>
      <c r="U536" s="213"/>
      <c r="V536" s="213"/>
      <c r="W536" s="213"/>
      <c r="X536" s="213"/>
      <c r="Y536" s="213"/>
      <c r="Z536" s="213"/>
      <c r="AA536" s="213"/>
      <c r="AB536" s="213"/>
      <c r="AC536" s="213"/>
      <c r="AD536" s="213"/>
    </row>
    <row r="537" ht="15.75" customHeight="1">
      <c r="A537" s="257"/>
      <c r="B537" s="213"/>
      <c r="C537" s="213"/>
      <c r="D537" s="213"/>
      <c r="E537" s="213"/>
      <c r="F537" s="213"/>
      <c r="G537" s="213"/>
      <c r="H537" s="213"/>
      <c r="I537" s="213"/>
      <c r="J537" s="213"/>
      <c r="K537" s="213"/>
      <c r="L537" s="213"/>
      <c r="M537" s="213"/>
      <c r="N537" s="213"/>
      <c r="O537" s="213"/>
      <c r="P537" s="213"/>
      <c r="Q537" s="213"/>
      <c r="R537" s="213"/>
      <c r="S537" s="213"/>
      <c r="T537" s="213"/>
      <c r="U537" s="213"/>
      <c r="V537" s="213"/>
      <c r="W537" s="213"/>
      <c r="X537" s="213"/>
      <c r="Y537" s="213"/>
      <c r="Z537" s="213"/>
      <c r="AA537" s="213"/>
      <c r="AB537" s="213"/>
      <c r="AC537" s="213"/>
      <c r="AD537" s="213"/>
    </row>
    <row r="538" ht="15.75" customHeight="1">
      <c r="A538" s="257"/>
      <c r="B538" s="213"/>
      <c r="C538" s="213"/>
      <c r="D538" s="213"/>
      <c r="E538" s="213"/>
      <c r="F538" s="213"/>
      <c r="G538" s="213"/>
      <c r="H538" s="213"/>
      <c r="I538" s="213"/>
      <c r="J538" s="213"/>
      <c r="K538" s="213"/>
      <c r="L538" s="213"/>
      <c r="M538" s="213"/>
      <c r="N538" s="213"/>
      <c r="O538" s="213"/>
      <c r="P538" s="213"/>
      <c r="Q538" s="213"/>
      <c r="R538" s="213"/>
      <c r="S538" s="213"/>
      <c r="T538" s="213"/>
      <c r="U538" s="213"/>
      <c r="V538" s="213"/>
      <c r="W538" s="213"/>
      <c r="X538" s="213"/>
      <c r="Y538" s="213"/>
      <c r="Z538" s="213"/>
      <c r="AA538" s="213"/>
      <c r="AB538" s="213"/>
      <c r="AC538" s="213"/>
      <c r="AD538" s="213"/>
    </row>
    <row r="539" ht="15.75" customHeight="1">
      <c r="A539" s="257"/>
      <c r="B539" s="213"/>
      <c r="C539" s="213"/>
      <c r="D539" s="213"/>
      <c r="E539" s="213"/>
      <c r="F539" s="213"/>
      <c r="G539" s="213"/>
      <c r="H539" s="213"/>
      <c r="I539" s="213"/>
      <c r="J539" s="213"/>
      <c r="K539" s="213"/>
      <c r="L539" s="213"/>
      <c r="M539" s="213"/>
      <c r="N539" s="213"/>
      <c r="O539" s="213"/>
      <c r="P539" s="213"/>
      <c r="Q539" s="213"/>
      <c r="R539" s="213"/>
      <c r="S539" s="213"/>
      <c r="T539" s="213"/>
      <c r="U539" s="213"/>
      <c r="V539" s="213"/>
      <c r="W539" s="213"/>
      <c r="X539" s="213"/>
      <c r="Y539" s="213"/>
      <c r="Z539" s="213"/>
      <c r="AA539" s="213"/>
      <c r="AB539" s="213"/>
      <c r="AC539" s="213"/>
      <c r="AD539" s="213"/>
    </row>
    <row r="540" ht="15.75" customHeight="1">
      <c r="A540" s="257"/>
      <c r="B540" s="213"/>
      <c r="C540" s="213"/>
      <c r="D540" s="213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13"/>
      <c r="Q540" s="213"/>
      <c r="R540" s="213"/>
      <c r="S540" s="213"/>
      <c r="T540" s="213"/>
      <c r="U540" s="213"/>
      <c r="V540" s="213"/>
      <c r="W540" s="213"/>
      <c r="X540" s="213"/>
      <c r="Y540" s="213"/>
      <c r="Z540" s="213"/>
      <c r="AA540" s="213"/>
      <c r="AB540" s="213"/>
      <c r="AC540" s="213"/>
      <c r="AD540" s="213"/>
    </row>
    <row r="541" ht="15.75" customHeight="1">
      <c r="A541" s="257"/>
      <c r="B541" s="213"/>
      <c r="C541" s="213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  <c r="Q541" s="213"/>
      <c r="R541" s="213"/>
      <c r="S541" s="213"/>
      <c r="T541" s="213"/>
      <c r="U541" s="213"/>
      <c r="V541" s="213"/>
      <c r="W541" s="213"/>
      <c r="X541" s="213"/>
      <c r="Y541" s="213"/>
      <c r="Z541" s="213"/>
      <c r="AA541" s="213"/>
      <c r="AB541" s="213"/>
      <c r="AC541" s="213"/>
      <c r="AD541" s="213"/>
    </row>
    <row r="542" ht="15.75" customHeight="1">
      <c r="A542" s="257"/>
      <c r="B542" s="213"/>
      <c r="C542" s="213"/>
      <c r="D542" s="213"/>
      <c r="E542" s="213"/>
      <c r="F542" s="213"/>
      <c r="G542" s="213"/>
      <c r="H542" s="213"/>
      <c r="I542" s="213"/>
      <c r="J542" s="213"/>
      <c r="K542" s="213"/>
      <c r="L542" s="213"/>
      <c r="M542" s="213"/>
      <c r="N542" s="213"/>
      <c r="O542" s="213"/>
      <c r="P542" s="213"/>
      <c r="Q542" s="213"/>
      <c r="R542" s="213"/>
      <c r="S542" s="213"/>
      <c r="T542" s="213"/>
      <c r="U542" s="213"/>
      <c r="V542" s="213"/>
      <c r="W542" s="213"/>
      <c r="X542" s="213"/>
      <c r="Y542" s="213"/>
      <c r="Z542" s="213"/>
      <c r="AA542" s="213"/>
      <c r="AB542" s="213"/>
      <c r="AC542" s="213"/>
      <c r="AD542" s="213"/>
    </row>
    <row r="543" ht="15.75" customHeight="1">
      <c r="A543" s="257"/>
      <c r="B543" s="213"/>
      <c r="C543" s="213"/>
      <c r="D543" s="213"/>
      <c r="E543" s="213"/>
      <c r="F543" s="213"/>
      <c r="G543" s="213"/>
      <c r="H543" s="213"/>
      <c r="I543" s="213"/>
      <c r="J543" s="213"/>
      <c r="K543" s="213"/>
      <c r="L543" s="213"/>
      <c r="M543" s="213"/>
      <c r="N543" s="213"/>
      <c r="O543" s="213"/>
      <c r="P543" s="213"/>
      <c r="Q543" s="213"/>
      <c r="R543" s="213"/>
      <c r="S543" s="213"/>
      <c r="T543" s="213"/>
      <c r="U543" s="213"/>
      <c r="V543" s="213"/>
      <c r="W543" s="213"/>
      <c r="X543" s="213"/>
      <c r="Y543" s="213"/>
      <c r="Z543" s="213"/>
      <c r="AA543" s="213"/>
      <c r="AB543" s="213"/>
      <c r="AC543" s="213"/>
      <c r="AD543" s="213"/>
    </row>
    <row r="544" ht="15.75" customHeight="1">
      <c r="A544" s="257"/>
      <c r="B544" s="213"/>
      <c r="C544" s="213"/>
      <c r="D544" s="213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13"/>
      <c r="Q544" s="213"/>
      <c r="R544" s="213"/>
      <c r="S544" s="213"/>
      <c r="T544" s="213"/>
      <c r="U544" s="213"/>
      <c r="V544" s="213"/>
      <c r="W544" s="213"/>
      <c r="X544" s="213"/>
      <c r="Y544" s="213"/>
      <c r="Z544" s="213"/>
      <c r="AA544" s="213"/>
      <c r="AB544" s="213"/>
      <c r="AC544" s="213"/>
      <c r="AD544" s="213"/>
    </row>
    <row r="545" ht="15.75" customHeight="1">
      <c r="A545" s="257"/>
      <c r="B545" s="213"/>
      <c r="C545" s="213"/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3"/>
      <c r="Q545" s="213"/>
      <c r="R545" s="213"/>
      <c r="S545" s="213"/>
      <c r="T545" s="213"/>
      <c r="U545" s="213"/>
      <c r="V545" s="213"/>
      <c r="W545" s="213"/>
      <c r="X545" s="213"/>
      <c r="Y545" s="213"/>
      <c r="Z545" s="213"/>
      <c r="AA545" s="213"/>
      <c r="AB545" s="213"/>
      <c r="AC545" s="213"/>
      <c r="AD545" s="213"/>
    </row>
    <row r="546" ht="15.75" customHeight="1">
      <c r="A546" s="257"/>
      <c r="B546" s="213"/>
      <c r="C546" s="213"/>
      <c r="D546" s="213"/>
      <c r="E546" s="213"/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  <c r="Q546" s="213"/>
      <c r="R546" s="213"/>
      <c r="S546" s="213"/>
      <c r="T546" s="213"/>
      <c r="U546" s="213"/>
      <c r="V546" s="213"/>
      <c r="W546" s="213"/>
      <c r="X546" s="213"/>
      <c r="Y546" s="213"/>
      <c r="Z546" s="213"/>
      <c r="AA546" s="213"/>
      <c r="AB546" s="213"/>
      <c r="AC546" s="213"/>
      <c r="AD546" s="213"/>
    </row>
    <row r="547" ht="15.75" customHeight="1">
      <c r="A547" s="257"/>
      <c r="B547" s="213"/>
      <c r="C547" s="213"/>
      <c r="D547" s="213"/>
      <c r="E547" s="213"/>
      <c r="F547" s="213"/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  <c r="Q547" s="213"/>
      <c r="R547" s="213"/>
      <c r="S547" s="213"/>
      <c r="T547" s="213"/>
      <c r="U547" s="213"/>
      <c r="V547" s="213"/>
      <c r="W547" s="213"/>
      <c r="X547" s="213"/>
      <c r="Y547" s="213"/>
      <c r="Z547" s="213"/>
      <c r="AA547" s="213"/>
      <c r="AB547" s="213"/>
      <c r="AC547" s="213"/>
      <c r="AD547" s="213"/>
    </row>
    <row r="548" ht="15.75" customHeight="1">
      <c r="A548" s="257"/>
      <c r="B548" s="213"/>
      <c r="C548" s="213"/>
      <c r="D548" s="213"/>
      <c r="E548" s="213"/>
      <c r="F548" s="213"/>
      <c r="G548" s="213"/>
      <c r="H548" s="213"/>
      <c r="I548" s="213"/>
      <c r="J548" s="213"/>
      <c r="K548" s="213"/>
      <c r="L548" s="213"/>
      <c r="M548" s="213"/>
      <c r="N548" s="213"/>
      <c r="O548" s="213"/>
      <c r="P548" s="213"/>
      <c r="Q548" s="213"/>
      <c r="R548" s="213"/>
      <c r="S548" s="213"/>
      <c r="T548" s="213"/>
      <c r="U548" s="213"/>
      <c r="V548" s="213"/>
      <c r="W548" s="213"/>
      <c r="X548" s="213"/>
      <c r="Y548" s="213"/>
      <c r="Z548" s="213"/>
      <c r="AA548" s="213"/>
      <c r="AB548" s="213"/>
      <c r="AC548" s="213"/>
      <c r="AD548" s="213"/>
    </row>
    <row r="549" ht="15.75" customHeight="1">
      <c r="A549" s="257"/>
      <c r="B549" s="213"/>
      <c r="C549" s="213"/>
      <c r="D549" s="213"/>
      <c r="E549" s="213"/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  <c r="Q549" s="213"/>
      <c r="R549" s="213"/>
      <c r="S549" s="213"/>
      <c r="T549" s="213"/>
      <c r="U549" s="213"/>
      <c r="V549" s="213"/>
      <c r="W549" s="213"/>
      <c r="X549" s="213"/>
      <c r="Y549" s="213"/>
      <c r="Z549" s="213"/>
      <c r="AA549" s="213"/>
      <c r="AB549" s="213"/>
      <c r="AC549" s="213"/>
      <c r="AD549" s="213"/>
    </row>
    <row r="550" ht="15.75" customHeight="1">
      <c r="A550" s="257"/>
      <c r="B550" s="213"/>
      <c r="C550" s="213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  <c r="Q550" s="213"/>
      <c r="R550" s="213"/>
      <c r="S550" s="213"/>
      <c r="T550" s="213"/>
      <c r="U550" s="213"/>
      <c r="V550" s="213"/>
      <c r="W550" s="213"/>
      <c r="X550" s="213"/>
      <c r="Y550" s="213"/>
      <c r="Z550" s="213"/>
      <c r="AA550" s="213"/>
      <c r="AB550" s="213"/>
      <c r="AC550" s="213"/>
      <c r="AD550" s="213"/>
    </row>
    <row r="551" ht="15.75" customHeight="1">
      <c r="A551" s="257"/>
      <c r="B551" s="213"/>
      <c r="C551" s="213"/>
      <c r="D551" s="213"/>
      <c r="E551" s="213"/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  <c r="Q551" s="213"/>
      <c r="R551" s="213"/>
      <c r="S551" s="213"/>
      <c r="T551" s="213"/>
      <c r="U551" s="213"/>
      <c r="V551" s="213"/>
      <c r="W551" s="213"/>
      <c r="X551" s="213"/>
      <c r="Y551" s="213"/>
      <c r="Z551" s="213"/>
      <c r="AA551" s="213"/>
      <c r="AB551" s="213"/>
      <c r="AC551" s="213"/>
      <c r="AD551" s="213"/>
    </row>
    <row r="552" ht="15.75" customHeight="1">
      <c r="A552" s="257"/>
      <c r="B552" s="213"/>
      <c r="C552" s="213"/>
      <c r="D552" s="213"/>
      <c r="E552" s="213"/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  <c r="Q552" s="213"/>
      <c r="R552" s="213"/>
      <c r="S552" s="213"/>
      <c r="T552" s="213"/>
      <c r="U552" s="213"/>
      <c r="V552" s="213"/>
      <c r="W552" s="213"/>
      <c r="X552" s="213"/>
      <c r="Y552" s="213"/>
      <c r="Z552" s="213"/>
      <c r="AA552" s="213"/>
      <c r="AB552" s="213"/>
      <c r="AC552" s="213"/>
      <c r="AD552" s="213"/>
    </row>
    <row r="553" ht="15.75" customHeight="1">
      <c r="A553" s="257"/>
      <c r="B553" s="213"/>
      <c r="C553" s="213"/>
      <c r="D553" s="213"/>
      <c r="E553" s="213"/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  <c r="Q553" s="213"/>
      <c r="R553" s="213"/>
      <c r="S553" s="213"/>
      <c r="T553" s="213"/>
      <c r="U553" s="213"/>
      <c r="V553" s="213"/>
      <c r="W553" s="213"/>
      <c r="X553" s="213"/>
      <c r="Y553" s="213"/>
      <c r="Z553" s="213"/>
      <c r="AA553" s="213"/>
      <c r="AB553" s="213"/>
      <c r="AC553" s="213"/>
      <c r="AD553" s="213"/>
    </row>
    <row r="554" ht="15.75" customHeight="1">
      <c r="A554" s="257"/>
      <c r="B554" s="213"/>
      <c r="C554" s="213"/>
      <c r="D554" s="213"/>
      <c r="E554" s="213"/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  <c r="Q554" s="213"/>
      <c r="R554" s="213"/>
      <c r="S554" s="213"/>
      <c r="T554" s="213"/>
      <c r="U554" s="213"/>
      <c r="V554" s="213"/>
      <c r="W554" s="213"/>
      <c r="X554" s="213"/>
      <c r="Y554" s="213"/>
      <c r="Z554" s="213"/>
      <c r="AA554" s="213"/>
      <c r="AB554" s="213"/>
      <c r="AC554" s="213"/>
      <c r="AD554" s="213"/>
    </row>
    <row r="555" ht="15.75" customHeight="1">
      <c r="A555" s="257"/>
      <c r="B555" s="213"/>
      <c r="C555" s="213"/>
      <c r="D555" s="213"/>
      <c r="E555" s="213"/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  <c r="Q555" s="213"/>
      <c r="R555" s="213"/>
      <c r="S555" s="213"/>
      <c r="T555" s="213"/>
      <c r="U555" s="213"/>
      <c r="V555" s="213"/>
      <c r="W555" s="213"/>
      <c r="X555" s="213"/>
      <c r="Y555" s="213"/>
      <c r="Z555" s="213"/>
      <c r="AA555" s="213"/>
      <c r="AB555" s="213"/>
      <c r="AC555" s="213"/>
      <c r="AD555" s="213"/>
    </row>
    <row r="556" ht="15.75" customHeight="1">
      <c r="A556" s="257"/>
      <c r="B556" s="213"/>
      <c r="C556" s="213"/>
      <c r="D556" s="213"/>
      <c r="E556" s="213"/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  <c r="Q556" s="213"/>
      <c r="R556" s="213"/>
      <c r="S556" s="213"/>
      <c r="T556" s="213"/>
      <c r="U556" s="213"/>
      <c r="V556" s="213"/>
      <c r="W556" s="213"/>
      <c r="X556" s="213"/>
      <c r="Y556" s="213"/>
      <c r="Z556" s="213"/>
      <c r="AA556" s="213"/>
      <c r="AB556" s="213"/>
      <c r="AC556" s="213"/>
      <c r="AD556" s="213"/>
    </row>
    <row r="557" ht="15.75" customHeight="1">
      <c r="A557" s="257"/>
      <c r="B557" s="213"/>
      <c r="C557" s="213"/>
      <c r="D557" s="213"/>
      <c r="E557" s="213"/>
      <c r="F557" s="213"/>
      <c r="G557" s="213"/>
      <c r="H557" s="213"/>
      <c r="I557" s="213"/>
      <c r="J557" s="213"/>
      <c r="K557" s="213"/>
      <c r="L557" s="213"/>
      <c r="M557" s="213"/>
      <c r="N557" s="213"/>
      <c r="O557" s="213"/>
      <c r="P557" s="213"/>
      <c r="Q557" s="213"/>
      <c r="R557" s="213"/>
      <c r="S557" s="213"/>
      <c r="T557" s="213"/>
      <c r="U557" s="213"/>
      <c r="V557" s="213"/>
      <c r="W557" s="213"/>
      <c r="X557" s="213"/>
      <c r="Y557" s="213"/>
      <c r="Z557" s="213"/>
      <c r="AA557" s="213"/>
      <c r="AB557" s="213"/>
      <c r="AC557" s="213"/>
      <c r="AD557" s="213"/>
    </row>
    <row r="558" ht="15.75" customHeight="1">
      <c r="A558" s="257"/>
      <c r="B558" s="213"/>
      <c r="C558" s="213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  <c r="Q558" s="213"/>
      <c r="R558" s="213"/>
      <c r="S558" s="213"/>
      <c r="T558" s="213"/>
      <c r="U558" s="213"/>
      <c r="V558" s="213"/>
      <c r="W558" s="213"/>
      <c r="X558" s="213"/>
      <c r="Y558" s="213"/>
      <c r="Z558" s="213"/>
      <c r="AA558" s="213"/>
      <c r="AB558" s="213"/>
      <c r="AC558" s="213"/>
      <c r="AD558" s="213"/>
    </row>
    <row r="559" ht="15.75" customHeight="1">
      <c r="A559" s="257"/>
      <c r="B559" s="213"/>
      <c r="C559" s="213"/>
      <c r="D559" s="213"/>
      <c r="E559" s="213"/>
      <c r="F559" s="213"/>
      <c r="G559" s="213"/>
      <c r="H559" s="213"/>
      <c r="I559" s="213"/>
      <c r="J559" s="213"/>
      <c r="K559" s="213"/>
      <c r="L559" s="213"/>
      <c r="M559" s="213"/>
      <c r="N559" s="213"/>
      <c r="O559" s="213"/>
      <c r="P559" s="213"/>
      <c r="Q559" s="213"/>
      <c r="R559" s="213"/>
      <c r="S559" s="213"/>
      <c r="T559" s="213"/>
      <c r="U559" s="213"/>
      <c r="V559" s="213"/>
      <c r="W559" s="213"/>
      <c r="X559" s="213"/>
      <c r="Y559" s="213"/>
      <c r="Z559" s="213"/>
      <c r="AA559" s="213"/>
      <c r="AB559" s="213"/>
      <c r="AC559" s="213"/>
      <c r="AD559" s="213"/>
    </row>
    <row r="560" ht="15.75" customHeight="1">
      <c r="A560" s="257"/>
      <c r="B560" s="213"/>
      <c r="C560" s="213"/>
      <c r="D560" s="213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13"/>
      <c r="Q560" s="213"/>
      <c r="R560" s="213"/>
      <c r="S560" s="213"/>
      <c r="T560" s="213"/>
      <c r="U560" s="213"/>
      <c r="V560" s="213"/>
      <c r="W560" s="213"/>
      <c r="X560" s="213"/>
      <c r="Y560" s="213"/>
      <c r="Z560" s="213"/>
      <c r="AA560" s="213"/>
      <c r="AB560" s="213"/>
      <c r="AC560" s="213"/>
      <c r="AD560" s="213"/>
    </row>
    <row r="561" ht="15.75" customHeight="1">
      <c r="A561" s="257"/>
      <c r="B561" s="213"/>
      <c r="C561" s="213"/>
      <c r="D561" s="213"/>
      <c r="E561" s="213"/>
      <c r="F561" s="213"/>
      <c r="G561" s="213"/>
      <c r="H561" s="213"/>
      <c r="I561" s="213"/>
      <c r="J561" s="213"/>
      <c r="K561" s="213"/>
      <c r="L561" s="213"/>
      <c r="M561" s="213"/>
      <c r="N561" s="213"/>
      <c r="O561" s="213"/>
      <c r="P561" s="213"/>
      <c r="Q561" s="213"/>
      <c r="R561" s="213"/>
      <c r="S561" s="213"/>
      <c r="T561" s="213"/>
      <c r="U561" s="213"/>
      <c r="V561" s="213"/>
      <c r="W561" s="213"/>
      <c r="X561" s="213"/>
      <c r="Y561" s="213"/>
      <c r="Z561" s="213"/>
      <c r="AA561" s="213"/>
      <c r="AB561" s="213"/>
      <c r="AC561" s="213"/>
      <c r="AD561" s="213"/>
    </row>
    <row r="562" ht="15.75" customHeight="1">
      <c r="A562" s="257"/>
      <c r="B562" s="213"/>
      <c r="C562" s="213"/>
      <c r="D562" s="213"/>
      <c r="E562" s="213"/>
      <c r="F562" s="213"/>
      <c r="G562" s="213"/>
      <c r="H562" s="213"/>
      <c r="I562" s="213"/>
      <c r="J562" s="213"/>
      <c r="K562" s="213"/>
      <c r="L562" s="213"/>
      <c r="M562" s="213"/>
      <c r="N562" s="213"/>
      <c r="O562" s="213"/>
      <c r="P562" s="213"/>
      <c r="Q562" s="213"/>
      <c r="R562" s="213"/>
      <c r="S562" s="213"/>
      <c r="T562" s="213"/>
      <c r="U562" s="213"/>
      <c r="V562" s="213"/>
      <c r="W562" s="213"/>
      <c r="X562" s="213"/>
      <c r="Y562" s="213"/>
      <c r="Z562" s="213"/>
      <c r="AA562" s="213"/>
      <c r="AB562" s="213"/>
      <c r="AC562" s="213"/>
      <c r="AD562" s="213"/>
    </row>
    <row r="563" ht="15.75" customHeight="1">
      <c r="A563" s="257"/>
      <c r="B563" s="213"/>
      <c r="C563" s="213"/>
      <c r="D563" s="213"/>
      <c r="E563" s="213"/>
      <c r="F563" s="213"/>
      <c r="G563" s="213"/>
      <c r="H563" s="213"/>
      <c r="I563" s="213"/>
      <c r="J563" s="213"/>
      <c r="K563" s="213"/>
      <c r="L563" s="213"/>
      <c r="M563" s="213"/>
      <c r="N563" s="213"/>
      <c r="O563" s="213"/>
      <c r="P563" s="213"/>
      <c r="Q563" s="213"/>
      <c r="R563" s="213"/>
      <c r="S563" s="213"/>
      <c r="T563" s="213"/>
      <c r="U563" s="213"/>
      <c r="V563" s="213"/>
      <c r="W563" s="213"/>
      <c r="X563" s="213"/>
      <c r="Y563" s="213"/>
      <c r="Z563" s="213"/>
      <c r="AA563" s="213"/>
      <c r="AB563" s="213"/>
      <c r="AC563" s="213"/>
      <c r="AD563" s="213"/>
    </row>
    <row r="564" ht="15.75" customHeight="1">
      <c r="A564" s="257"/>
      <c r="B564" s="213"/>
      <c r="C564" s="213"/>
      <c r="D564" s="213"/>
      <c r="E564" s="213"/>
      <c r="F564" s="213"/>
      <c r="G564" s="213"/>
      <c r="H564" s="213"/>
      <c r="I564" s="213"/>
      <c r="J564" s="213"/>
      <c r="K564" s="213"/>
      <c r="L564" s="213"/>
      <c r="M564" s="213"/>
      <c r="N564" s="213"/>
      <c r="O564" s="213"/>
      <c r="P564" s="213"/>
      <c r="Q564" s="213"/>
      <c r="R564" s="213"/>
      <c r="S564" s="213"/>
      <c r="T564" s="213"/>
      <c r="U564" s="213"/>
      <c r="V564" s="213"/>
      <c r="W564" s="213"/>
      <c r="X564" s="213"/>
      <c r="Y564" s="213"/>
      <c r="Z564" s="213"/>
      <c r="AA564" s="213"/>
      <c r="AB564" s="213"/>
      <c r="AC564" s="213"/>
      <c r="AD564" s="213"/>
    </row>
    <row r="565" ht="15.75" customHeight="1">
      <c r="A565" s="257"/>
      <c r="B565" s="213"/>
      <c r="C565" s="213"/>
      <c r="D565" s="213"/>
      <c r="E565" s="213"/>
      <c r="F565" s="213"/>
      <c r="G565" s="213"/>
      <c r="H565" s="213"/>
      <c r="I565" s="213"/>
      <c r="J565" s="213"/>
      <c r="K565" s="213"/>
      <c r="L565" s="213"/>
      <c r="M565" s="213"/>
      <c r="N565" s="213"/>
      <c r="O565" s="213"/>
      <c r="P565" s="213"/>
      <c r="Q565" s="213"/>
      <c r="R565" s="213"/>
      <c r="S565" s="213"/>
      <c r="T565" s="213"/>
      <c r="U565" s="213"/>
      <c r="V565" s="213"/>
      <c r="W565" s="213"/>
      <c r="X565" s="213"/>
      <c r="Y565" s="213"/>
      <c r="Z565" s="213"/>
      <c r="AA565" s="213"/>
      <c r="AB565" s="213"/>
      <c r="AC565" s="213"/>
      <c r="AD565" s="213"/>
    </row>
    <row r="566" ht="15.75" customHeight="1">
      <c r="A566" s="257"/>
      <c r="B566" s="213"/>
      <c r="C566" s="213"/>
      <c r="D566" s="213"/>
      <c r="E566" s="213"/>
      <c r="F566" s="213"/>
      <c r="G566" s="213"/>
      <c r="H566" s="213"/>
      <c r="I566" s="213"/>
      <c r="J566" s="213"/>
      <c r="K566" s="213"/>
      <c r="L566" s="213"/>
      <c r="M566" s="213"/>
      <c r="N566" s="213"/>
      <c r="O566" s="213"/>
      <c r="P566" s="213"/>
      <c r="Q566" s="213"/>
      <c r="R566" s="213"/>
      <c r="S566" s="213"/>
      <c r="T566" s="213"/>
      <c r="U566" s="213"/>
      <c r="V566" s="213"/>
      <c r="W566" s="213"/>
      <c r="X566" s="213"/>
      <c r="Y566" s="213"/>
      <c r="Z566" s="213"/>
      <c r="AA566" s="213"/>
      <c r="AB566" s="213"/>
      <c r="AC566" s="213"/>
      <c r="AD566" s="213"/>
    </row>
    <row r="567" ht="15.75" customHeight="1">
      <c r="A567" s="257"/>
      <c r="B567" s="213"/>
      <c r="C567" s="213"/>
      <c r="D567" s="213"/>
      <c r="E567" s="213"/>
      <c r="F567" s="213"/>
      <c r="G567" s="213"/>
      <c r="H567" s="213"/>
      <c r="I567" s="213"/>
      <c r="J567" s="213"/>
      <c r="K567" s="213"/>
      <c r="L567" s="213"/>
      <c r="M567" s="213"/>
      <c r="N567" s="213"/>
      <c r="O567" s="213"/>
      <c r="P567" s="213"/>
      <c r="Q567" s="213"/>
      <c r="R567" s="213"/>
      <c r="S567" s="213"/>
      <c r="T567" s="213"/>
      <c r="U567" s="213"/>
      <c r="V567" s="213"/>
      <c r="W567" s="213"/>
      <c r="X567" s="213"/>
      <c r="Y567" s="213"/>
      <c r="Z567" s="213"/>
      <c r="AA567" s="213"/>
      <c r="AB567" s="213"/>
      <c r="AC567" s="213"/>
      <c r="AD567" s="213"/>
    </row>
    <row r="568" ht="15.75" customHeight="1">
      <c r="A568" s="257"/>
      <c r="B568" s="213"/>
      <c r="C568" s="213"/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3"/>
      <c r="Q568" s="213"/>
      <c r="R568" s="213"/>
      <c r="S568" s="213"/>
      <c r="T568" s="213"/>
      <c r="U568" s="213"/>
      <c r="V568" s="213"/>
      <c r="W568" s="213"/>
      <c r="X568" s="213"/>
      <c r="Y568" s="213"/>
      <c r="Z568" s="213"/>
      <c r="AA568" s="213"/>
      <c r="AB568" s="213"/>
      <c r="AC568" s="213"/>
      <c r="AD568" s="213"/>
    </row>
    <row r="569" ht="15.75" customHeight="1">
      <c r="A569" s="257"/>
      <c r="B569" s="213"/>
      <c r="C569" s="213"/>
      <c r="D569" s="213"/>
      <c r="E569" s="213"/>
      <c r="F569" s="213"/>
      <c r="G569" s="213"/>
      <c r="H569" s="213"/>
      <c r="I569" s="213"/>
      <c r="J569" s="213"/>
      <c r="K569" s="213"/>
      <c r="L569" s="213"/>
      <c r="M569" s="213"/>
      <c r="N569" s="213"/>
      <c r="O569" s="213"/>
      <c r="P569" s="213"/>
      <c r="Q569" s="213"/>
      <c r="R569" s="213"/>
      <c r="S569" s="213"/>
      <c r="T569" s="213"/>
      <c r="U569" s="213"/>
      <c r="V569" s="213"/>
      <c r="W569" s="213"/>
      <c r="X569" s="213"/>
      <c r="Y569" s="213"/>
      <c r="Z569" s="213"/>
      <c r="AA569" s="213"/>
      <c r="AB569" s="213"/>
      <c r="AC569" s="213"/>
      <c r="AD569" s="213"/>
    </row>
    <row r="570" ht="15.75" customHeight="1">
      <c r="A570" s="257"/>
      <c r="B570" s="213"/>
      <c r="C570" s="213"/>
      <c r="D570" s="213"/>
      <c r="E570" s="213"/>
      <c r="F570" s="213"/>
      <c r="G570" s="213"/>
      <c r="H570" s="213"/>
      <c r="I570" s="213"/>
      <c r="J570" s="213"/>
      <c r="K570" s="213"/>
      <c r="L570" s="213"/>
      <c r="M570" s="213"/>
      <c r="N570" s="213"/>
      <c r="O570" s="213"/>
      <c r="P570" s="213"/>
      <c r="Q570" s="213"/>
      <c r="R570" s="213"/>
      <c r="S570" s="213"/>
      <c r="T570" s="213"/>
      <c r="U570" s="213"/>
      <c r="V570" s="213"/>
      <c r="W570" s="213"/>
      <c r="X570" s="213"/>
      <c r="Y570" s="213"/>
      <c r="Z570" s="213"/>
      <c r="AA570" s="213"/>
      <c r="AB570" s="213"/>
      <c r="AC570" s="213"/>
      <c r="AD570" s="213"/>
    </row>
    <row r="571" ht="15.75" customHeight="1">
      <c r="A571" s="257"/>
      <c r="B571" s="213"/>
      <c r="C571" s="213"/>
      <c r="D571" s="213"/>
      <c r="E571" s="213"/>
      <c r="F571" s="213"/>
      <c r="G571" s="213"/>
      <c r="H571" s="213"/>
      <c r="I571" s="213"/>
      <c r="J571" s="213"/>
      <c r="K571" s="213"/>
      <c r="L571" s="213"/>
      <c r="M571" s="213"/>
      <c r="N571" s="213"/>
      <c r="O571" s="213"/>
      <c r="P571" s="213"/>
      <c r="Q571" s="213"/>
      <c r="R571" s="213"/>
      <c r="S571" s="213"/>
      <c r="T571" s="213"/>
      <c r="U571" s="213"/>
      <c r="V571" s="213"/>
      <c r="W571" s="213"/>
      <c r="X571" s="213"/>
      <c r="Y571" s="213"/>
      <c r="Z571" s="213"/>
      <c r="AA571" s="213"/>
      <c r="AB571" s="213"/>
      <c r="AC571" s="213"/>
      <c r="AD571" s="213"/>
    </row>
    <row r="572" ht="15.75" customHeight="1">
      <c r="A572" s="257"/>
      <c r="B572" s="213"/>
      <c r="C572" s="213"/>
      <c r="D572" s="213"/>
      <c r="E572" s="213"/>
      <c r="F572" s="213"/>
      <c r="G572" s="213"/>
      <c r="H572" s="213"/>
      <c r="I572" s="213"/>
      <c r="J572" s="213"/>
      <c r="K572" s="213"/>
      <c r="L572" s="213"/>
      <c r="M572" s="213"/>
      <c r="N572" s="213"/>
      <c r="O572" s="213"/>
      <c r="P572" s="213"/>
      <c r="Q572" s="213"/>
      <c r="R572" s="213"/>
      <c r="S572" s="213"/>
      <c r="T572" s="213"/>
      <c r="U572" s="213"/>
      <c r="V572" s="213"/>
      <c r="W572" s="213"/>
      <c r="X572" s="213"/>
      <c r="Y572" s="213"/>
      <c r="Z572" s="213"/>
      <c r="AA572" s="213"/>
      <c r="AB572" s="213"/>
      <c r="AC572" s="213"/>
      <c r="AD572" s="213"/>
    </row>
    <row r="573" ht="15.75" customHeight="1">
      <c r="A573" s="257"/>
      <c r="B573" s="213"/>
      <c r="C573" s="213"/>
      <c r="D573" s="213"/>
      <c r="E573" s="213"/>
      <c r="F573" s="213"/>
      <c r="G573" s="213"/>
      <c r="H573" s="213"/>
      <c r="I573" s="213"/>
      <c r="J573" s="213"/>
      <c r="K573" s="213"/>
      <c r="L573" s="213"/>
      <c r="M573" s="213"/>
      <c r="N573" s="213"/>
      <c r="O573" s="213"/>
      <c r="P573" s="213"/>
      <c r="Q573" s="213"/>
      <c r="R573" s="213"/>
      <c r="S573" s="213"/>
      <c r="T573" s="213"/>
      <c r="U573" s="213"/>
      <c r="V573" s="213"/>
      <c r="W573" s="213"/>
      <c r="X573" s="213"/>
      <c r="Y573" s="213"/>
      <c r="Z573" s="213"/>
      <c r="AA573" s="213"/>
      <c r="AB573" s="213"/>
      <c r="AC573" s="213"/>
      <c r="AD573" s="213"/>
    </row>
    <row r="574" ht="15.75" customHeight="1">
      <c r="A574" s="257"/>
      <c r="B574" s="213"/>
      <c r="C574" s="213"/>
      <c r="D574" s="213"/>
      <c r="E574" s="213"/>
      <c r="F574" s="213"/>
      <c r="G574" s="213"/>
      <c r="H574" s="213"/>
      <c r="I574" s="213"/>
      <c r="J574" s="213"/>
      <c r="K574" s="213"/>
      <c r="L574" s="213"/>
      <c r="M574" s="213"/>
      <c r="N574" s="213"/>
      <c r="O574" s="213"/>
      <c r="P574" s="213"/>
      <c r="Q574" s="213"/>
      <c r="R574" s="213"/>
      <c r="S574" s="213"/>
      <c r="T574" s="213"/>
      <c r="U574" s="213"/>
      <c r="V574" s="213"/>
      <c r="W574" s="213"/>
      <c r="X574" s="213"/>
      <c r="Y574" s="213"/>
      <c r="Z574" s="213"/>
      <c r="AA574" s="213"/>
      <c r="AB574" s="213"/>
      <c r="AC574" s="213"/>
      <c r="AD574" s="213"/>
    </row>
    <row r="575" ht="15.75" customHeight="1">
      <c r="A575" s="257"/>
      <c r="B575" s="213"/>
      <c r="C575" s="213"/>
      <c r="D575" s="213"/>
      <c r="E575" s="213"/>
      <c r="F575" s="213"/>
      <c r="G575" s="213"/>
      <c r="H575" s="213"/>
      <c r="I575" s="213"/>
      <c r="J575" s="213"/>
      <c r="K575" s="213"/>
      <c r="L575" s="213"/>
      <c r="M575" s="213"/>
      <c r="N575" s="213"/>
      <c r="O575" s="213"/>
      <c r="P575" s="213"/>
      <c r="Q575" s="213"/>
      <c r="R575" s="213"/>
      <c r="S575" s="213"/>
      <c r="T575" s="213"/>
      <c r="U575" s="213"/>
      <c r="V575" s="213"/>
      <c r="W575" s="213"/>
      <c r="X575" s="213"/>
      <c r="Y575" s="213"/>
      <c r="Z575" s="213"/>
      <c r="AA575" s="213"/>
      <c r="AB575" s="213"/>
      <c r="AC575" s="213"/>
      <c r="AD575" s="213"/>
    </row>
    <row r="576" ht="15.75" customHeight="1">
      <c r="A576" s="257"/>
      <c r="B576" s="213"/>
      <c r="C576" s="213"/>
      <c r="D576" s="213"/>
      <c r="E576" s="213"/>
      <c r="F576" s="213"/>
      <c r="G576" s="213"/>
      <c r="H576" s="213"/>
      <c r="I576" s="213"/>
      <c r="J576" s="213"/>
      <c r="K576" s="213"/>
      <c r="L576" s="213"/>
      <c r="M576" s="213"/>
      <c r="N576" s="213"/>
      <c r="O576" s="213"/>
      <c r="P576" s="213"/>
      <c r="Q576" s="213"/>
      <c r="R576" s="213"/>
      <c r="S576" s="213"/>
      <c r="T576" s="213"/>
      <c r="U576" s="213"/>
      <c r="V576" s="213"/>
      <c r="W576" s="213"/>
      <c r="X576" s="213"/>
      <c r="Y576" s="213"/>
      <c r="Z576" s="213"/>
      <c r="AA576" s="213"/>
      <c r="AB576" s="213"/>
      <c r="AC576" s="213"/>
      <c r="AD576" s="213"/>
    </row>
    <row r="577" ht="15.75" customHeight="1">
      <c r="A577" s="257"/>
      <c r="B577" s="213"/>
      <c r="C577" s="213"/>
      <c r="D577" s="213"/>
      <c r="E577" s="213"/>
      <c r="F577" s="213"/>
      <c r="G577" s="213"/>
      <c r="H577" s="213"/>
      <c r="I577" s="213"/>
      <c r="J577" s="213"/>
      <c r="K577" s="213"/>
      <c r="L577" s="213"/>
      <c r="M577" s="213"/>
      <c r="N577" s="213"/>
      <c r="O577" s="213"/>
      <c r="P577" s="213"/>
      <c r="Q577" s="213"/>
      <c r="R577" s="213"/>
      <c r="S577" s="213"/>
      <c r="T577" s="213"/>
      <c r="U577" s="213"/>
      <c r="V577" s="213"/>
      <c r="W577" s="213"/>
      <c r="X577" s="213"/>
      <c r="Y577" s="213"/>
      <c r="Z577" s="213"/>
      <c r="AA577" s="213"/>
      <c r="AB577" s="213"/>
      <c r="AC577" s="213"/>
      <c r="AD577" s="213"/>
    </row>
    <row r="578" ht="15.75" customHeight="1">
      <c r="A578" s="257"/>
      <c r="B578" s="213"/>
      <c r="C578" s="213"/>
      <c r="D578" s="213"/>
      <c r="E578" s="213"/>
      <c r="F578" s="213"/>
      <c r="G578" s="213"/>
      <c r="H578" s="213"/>
      <c r="I578" s="213"/>
      <c r="J578" s="213"/>
      <c r="K578" s="213"/>
      <c r="L578" s="213"/>
      <c r="M578" s="213"/>
      <c r="N578" s="213"/>
      <c r="O578" s="213"/>
      <c r="P578" s="213"/>
      <c r="Q578" s="213"/>
      <c r="R578" s="213"/>
      <c r="S578" s="213"/>
      <c r="T578" s="213"/>
      <c r="U578" s="213"/>
      <c r="V578" s="213"/>
      <c r="W578" s="213"/>
      <c r="X578" s="213"/>
      <c r="Y578" s="213"/>
      <c r="Z578" s="213"/>
      <c r="AA578" s="213"/>
      <c r="AB578" s="213"/>
      <c r="AC578" s="213"/>
      <c r="AD578" s="213"/>
    </row>
    <row r="579" ht="15.75" customHeight="1">
      <c r="A579" s="257"/>
      <c r="B579" s="213"/>
      <c r="C579" s="213"/>
      <c r="D579" s="213"/>
      <c r="E579" s="213"/>
      <c r="F579" s="213"/>
      <c r="G579" s="213"/>
      <c r="H579" s="213"/>
      <c r="I579" s="213"/>
      <c r="J579" s="213"/>
      <c r="K579" s="213"/>
      <c r="L579" s="213"/>
      <c r="M579" s="213"/>
      <c r="N579" s="213"/>
      <c r="O579" s="213"/>
      <c r="P579" s="213"/>
      <c r="Q579" s="213"/>
      <c r="R579" s="213"/>
      <c r="S579" s="213"/>
      <c r="T579" s="213"/>
      <c r="U579" s="213"/>
      <c r="V579" s="213"/>
      <c r="W579" s="213"/>
      <c r="X579" s="213"/>
      <c r="Y579" s="213"/>
      <c r="Z579" s="213"/>
      <c r="AA579" s="213"/>
      <c r="AB579" s="213"/>
      <c r="AC579" s="213"/>
      <c r="AD579" s="213"/>
    </row>
    <row r="580" ht="15.75" customHeight="1">
      <c r="A580" s="257"/>
      <c r="B580" s="213"/>
      <c r="C580" s="213"/>
      <c r="D580" s="213"/>
      <c r="E580" s="213"/>
      <c r="F580" s="213"/>
      <c r="G580" s="213"/>
      <c r="H580" s="213"/>
      <c r="I580" s="213"/>
      <c r="J580" s="213"/>
      <c r="K580" s="213"/>
      <c r="L580" s="213"/>
      <c r="M580" s="213"/>
      <c r="N580" s="213"/>
      <c r="O580" s="213"/>
      <c r="P580" s="213"/>
      <c r="Q580" s="213"/>
      <c r="R580" s="213"/>
      <c r="S580" s="213"/>
      <c r="T580" s="213"/>
      <c r="U580" s="213"/>
      <c r="V580" s="213"/>
      <c r="W580" s="213"/>
      <c r="X580" s="213"/>
      <c r="Y580" s="213"/>
      <c r="Z580" s="213"/>
      <c r="AA580" s="213"/>
      <c r="AB580" s="213"/>
      <c r="AC580" s="213"/>
      <c r="AD580" s="213"/>
    </row>
    <row r="581" ht="15.75" customHeight="1">
      <c r="A581" s="257"/>
      <c r="B581" s="213"/>
      <c r="C581" s="213"/>
      <c r="D581" s="213"/>
      <c r="E581" s="213"/>
      <c r="F581" s="213"/>
      <c r="G581" s="213"/>
      <c r="H581" s="213"/>
      <c r="I581" s="213"/>
      <c r="J581" s="213"/>
      <c r="K581" s="213"/>
      <c r="L581" s="213"/>
      <c r="M581" s="213"/>
      <c r="N581" s="213"/>
      <c r="O581" s="213"/>
      <c r="P581" s="213"/>
      <c r="Q581" s="213"/>
      <c r="R581" s="213"/>
      <c r="S581" s="213"/>
      <c r="T581" s="213"/>
      <c r="U581" s="213"/>
      <c r="V581" s="213"/>
      <c r="W581" s="213"/>
      <c r="X581" s="213"/>
      <c r="Y581" s="213"/>
      <c r="Z581" s="213"/>
      <c r="AA581" s="213"/>
      <c r="AB581" s="213"/>
      <c r="AC581" s="213"/>
      <c r="AD581" s="213"/>
    </row>
    <row r="582" ht="15.75" customHeight="1">
      <c r="A582" s="257"/>
      <c r="B582" s="213"/>
      <c r="C582" s="213"/>
      <c r="D582" s="213"/>
      <c r="E582" s="213"/>
      <c r="F582" s="213"/>
      <c r="G582" s="213"/>
      <c r="H582" s="213"/>
      <c r="I582" s="213"/>
      <c r="J582" s="213"/>
      <c r="K582" s="213"/>
      <c r="L582" s="213"/>
      <c r="M582" s="213"/>
      <c r="N582" s="213"/>
      <c r="O582" s="213"/>
      <c r="P582" s="213"/>
      <c r="Q582" s="213"/>
      <c r="R582" s="213"/>
      <c r="S582" s="213"/>
      <c r="T582" s="213"/>
      <c r="U582" s="213"/>
      <c r="V582" s="213"/>
      <c r="W582" s="213"/>
      <c r="X582" s="213"/>
      <c r="Y582" s="213"/>
      <c r="Z582" s="213"/>
      <c r="AA582" s="213"/>
      <c r="AB582" s="213"/>
      <c r="AC582" s="213"/>
      <c r="AD582" s="213"/>
    </row>
    <row r="583" ht="15.75" customHeight="1">
      <c r="A583" s="257"/>
      <c r="B583" s="213"/>
      <c r="C583" s="213"/>
      <c r="D583" s="213"/>
      <c r="E583" s="213"/>
      <c r="F583" s="213"/>
      <c r="G583" s="213"/>
      <c r="H583" s="213"/>
      <c r="I583" s="213"/>
      <c r="J583" s="213"/>
      <c r="K583" s="213"/>
      <c r="L583" s="213"/>
      <c r="M583" s="213"/>
      <c r="N583" s="213"/>
      <c r="O583" s="213"/>
      <c r="P583" s="213"/>
      <c r="Q583" s="213"/>
      <c r="R583" s="213"/>
      <c r="S583" s="213"/>
      <c r="T583" s="213"/>
      <c r="U583" s="213"/>
      <c r="V583" s="213"/>
      <c r="W583" s="213"/>
      <c r="X583" s="213"/>
      <c r="Y583" s="213"/>
      <c r="Z583" s="213"/>
      <c r="AA583" s="213"/>
      <c r="AB583" s="213"/>
      <c r="AC583" s="213"/>
      <c r="AD583" s="213"/>
    </row>
    <row r="584" ht="15.75" customHeight="1">
      <c r="A584" s="257"/>
      <c r="B584" s="213"/>
      <c r="C584" s="213"/>
      <c r="D584" s="213"/>
      <c r="E584" s="213"/>
      <c r="F584" s="213"/>
      <c r="G584" s="213"/>
      <c r="H584" s="213"/>
      <c r="I584" s="213"/>
      <c r="J584" s="213"/>
      <c r="K584" s="213"/>
      <c r="L584" s="213"/>
      <c r="M584" s="213"/>
      <c r="N584" s="213"/>
      <c r="O584" s="213"/>
      <c r="P584" s="213"/>
      <c r="Q584" s="213"/>
      <c r="R584" s="213"/>
      <c r="S584" s="213"/>
      <c r="T584" s="213"/>
      <c r="U584" s="213"/>
      <c r="V584" s="213"/>
      <c r="W584" s="213"/>
      <c r="X584" s="213"/>
      <c r="Y584" s="213"/>
      <c r="Z584" s="213"/>
      <c r="AA584" s="213"/>
      <c r="AB584" s="213"/>
      <c r="AC584" s="213"/>
      <c r="AD584" s="213"/>
    </row>
    <row r="585" ht="15.75" customHeight="1">
      <c r="A585" s="257"/>
      <c r="B585" s="213"/>
      <c r="C585" s="213"/>
      <c r="D585" s="213"/>
      <c r="E585" s="213"/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  <c r="Q585" s="213"/>
      <c r="R585" s="213"/>
      <c r="S585" s="213"/>
      <c r="T585" s="213"/>
      <c r="U585" s="213"/>
      <c r="V585" s="213"/>
      <c r="W585" s="213"/>
      <c r="X585" s="213"/>
      <c r="Y585" s="213"/>
      <c r="Z585" s="213"/>
      <c r="AA585" s="213"/>
      <c r="AB585" s="213"/>
      <c r="AC585" s="213"/>
      <c r="AD585" s="213"/>
    </row>
    <row r="586" ht="15.75" customHeight="1">
      <c r="A586" s="257"/>
      <c r="B586" s="213"/>
      <c r="C586" s="213"/>
      <c r="D586" s="213"/>
      <c r="E586" s="213"/>
      <c r="F586" s="213"/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  <c r="Q586" s="213"/>
      <c r="R586" s="213"/>
      <c r="S586" s="213"/>
      <c r="T586" s="213"/>
      <c r="U586" s="213"/>
      <c r="V586" s="213"/>
      <c r="W586" s="213"/>
      <c r="X586" s="213"/>
      <c r="Y586" s="213"/>
      <c r="Z586" s="213"/>
      <c r="AA586" s="213"/>
      <c r="AB586" s="213"/>
      <c r="AC586" s="213"/>
      <c r="AD586" s="213"/>
    </row>
    <row r="587" ht="15.75" customHeight="1">
      <c r="A587" s="257"/>
      <c r="B587" s="213"/>
      <c r="C587" s="213"/>
      <c r="D587" s="213"/>
      <c r="E587" s="213"/>
      <c r="F587" s="213"/>
      <c r="G587" s="213"/>
      <c r="H587" s="213"/>
      <c r="I587" s="213"/>
      <c r="J587" s="213"/>
      <c r="K587" s="213"/>
      <c r="L587" s="213"/>
      <c r="M587" s="213"/>
      <c r="N587" s="213"/>
      <c r="O587" s="213"/>
      <c r="P587" s="213"/>
      <c r="Q587" s="213"/>
      <c r="R587" s="213"/>
      <c r="S587" s="213"/>
      <c r="T587" s="213"/>
      <c r="U587" s="213"/>
      <c r="V587" s="213"/>
      <c r="W587" s="213"/>
      <c r="X587" s="213"/>
      <c r="Y587" s="213"/>
      <c r="Z587" s="213"/>
      <c r="AA587" s="213"/>
      <c r="AB587" s="213"/>
      <c r="AC587" s="213"/>
      <c r="AD587" s="213"/>
    </row>
    <row r="588" ht="15.75" customHeight="1">
      <c r="A588" s="257"/>
      <c r="B588" s="213"/>
      <c r="C588" s="213"/>
      <c r="D588" s="213"/>
      <c r="E588" s="213"/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  <c r="Q588" s="213"/>
      <c r="R588" s="213"/>
      <c r="S588" s="213"/>
      <c r="T588" s="213"/>
      <c r="U588" s="213"/>
      <c r="V588" s="213"/>
      <c r="W588" s="213"/>
      <c r="X588" s="213"/>
      <c r="Y588" s="213"/>
      <c r="Z588" s="213"/>
      <c r="AA588" s="213"/>
      <c r="AB588" s="213"/>
      <c r="AC588" s="213"/>
      <c r="AD588" s="213"/>
    </row>
    <row r="589" ht="15.75" customHeight="1">
      <c r="A589" s="257"/>
      <c r="B589" s="213"/>
      <c r="C589" s="213"/>
      <c r="D589" s="213"/>
      <c r="E589" s="213"/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  <c r="Q589" s="213"/>
      <c r="R589" s="213"/>
      <c r="S589" s="213"/>
      <c r="T589" s="213"/>
      <c r="U589" s="213"/>
      <c r="V589" s="213"/>
      <c r="W589" s="213"/>
      <c r="X589" s="213"/>
      <c r="Y589" s="213"/>
      <c r="Z589" s="213"/>
      <c r="AA589" s="213"/>
      <c r="AB589" s="213"/>
      <c r="AC589" s="213"/>
      <c r="AD589" s="213"/>
    </row>
    <row r="590" ht="15.75" customHeight="1">
      <c r="A590" s="257"/>
      <c r="B590" s="213"/>
      <c r="C590" s="213"/>
      <c r="D590" s="213"/>
      <c r="E590" s="213"/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  <c r="Q590" s="213"/>
      <c r="R590" s="213"/>
      <c r="S590" s="213"/>
      <c r="T590" s="213"/>
      <c r="U590" s="213"/>
      <c r="V590" s="213"/>
      <c r="W590" s="213"/>
      <c r="X590" s="213"/>
      <c r="Y590" s="213"/>
      <c r="Z590" s="213"/>
      <c r="AA590" s="213"/>
      <c r="AB590" s="213"/>
      <c r="AC590" s="213"/>
      <c r="AD590" s="213"/>
    </row>
    <row r="591" ht="15.75" customHeight="1">
      <c r="A591" s="257"/>
      <c r="B591" s="213"/>
      <c r="C591" s="213"/>
      <c r="D591" s="213"/>
      <c r="E591" s="213"/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  <c r="Q591" s="213"/>
      <c r="R591" s="213"/>
      <c r="S591" s="213"/>
      <c r="T591" s="213"/>
      <c r="U591" s="213"/>
      <c r="V591" s="213"/>
      <c r="W591" s="213"/>
      <c r="X591" s="213"/>
      <c r="Y591" s="213"/>
      <c r="Z591" s="213"/>
      <c r="AA591" s="213"/>
      <c r="AB591" s="213"/>
      <c r="AC591" s="213"/>
      <c r="AD591" s="213"/>
    </row>
    <row r="592" ht="15.75" customHeight="1">
      <c r="A592" s="257"/>
      <c r="B592" s="213"/>
      <c r="C592" s="213"/>
      <c r="D592" s="213"/>
      <c r="E592" s="213"/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  <c r="Q592" s="213"/>
      <c r="R592" s="213"/>
      <c r="S592" s="213"/>
      <c r="T592" s="213"/>
      <c r="U592" s="213"/>
      <c r="V592" s="213"/>
      <c r="W592" s="213"/>
      <c r="X592" s="213"/>
      <c r="Y592" s="213"/>
      <c r="Z592" s="213"/>
      <c r="AA592" s="213"/>
      <c r="AB592" s="213"/>
      <c r="AC592" s="213"/>
      <c r="AD592" s="213"/>
    </row>
    <row r="593" ht="15.75" customHeight="1">
      <c r="A593" s="257"/>
      <c r="B593" s="213"/>
      <c r="C593" s="213"/>
      <c r="D593" s="213"/>
      <c r="E593" s="213"/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  <c r="Q593" s="213"/>
      <c r="R593" s="213"/>
      <c r="S593" s="213"/>
      <c r="T593" s="213"/>
      <c r="U593" s="213"/>
      <c r="V593" s="213"/>
      <c r="W593" s="213"/>
      <c r="X593" s="213"/>
      <c r="Y593" s="213"/>
      <c r="Z593" s="213"/>
      <c r="AA593" s="213"/>
      <c r="AB593" s="213"/>
      <c r="AC593" s="213"/>
      <c r="AD593" s="213"/>
    </row>
    <row r="594" ht="15.75" customHeight="1">
      <c r="A594" s="257"/>
      <c r="B594" s="213"/>
      <c r="C594" s="213"/>
      <c r="D594" s="213"/>
      <c r="E594" s="213"/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  <c r="Q594" s="213"/>
      <c r="R594" s="213"/>
      <c r="S594" s="213"/>
      <c r="T594" s="213"/>
      <c r="U594" s="213"/>
      <c r="V594" s="213"/>
      <c r="W594" s="213"/>
      <c r="X594" s="213"/>
      <c r="Y594" s="213"/>
      <c r="Z594" s="213"/>
      <c r="AA594" s="213"/>
      <c r="AB594" s="213"/>
      <c r="AC594" s="213"/>
      <c r="AD594" s="213"/>
    </row>
    <row r="595" ht="15.75" customHeight="1">
      <c r="A595" s="257"/>
      <c r="B595" s="213"/>
      <c r="C595" s="213"/>
      <c r="D595" s="213"/>
      <c r="E595" s="213"/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  <c r="Q595" s="213"/>
      <c r="R595" s="213"/>
      <c r="S595" s="213"/>
      <c r="T595" s="213"/>
      <c r="U595" s="213"/>
      <c r="V595" s="213"/>
      <c r="W595" s="213"/>
      <c r="X595" s="213"/>
      <c r="Y595" s="213"/>
      <c r="Z595" s="213"/>
      <c r="AA595" s="213"/>
      <c r="AB595" s="213"/>
      <c r="AC595" s="213"/>
      <c r="AD595" s="213"/>
    </row>
    <row r="596" ht="15.75" customHeight="1">
      <c r="A596" s="257"/>
      <c r="B596" s="213"/>
      <c r="C596" s="213"/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3"/>
      <c r="Q596" s="213"/>
      <c r="R596" s="213"/>
      <c r="S596" s="213"/>
      <c r="T596" s="213"/>
      <c r="U596" s="213"/>
      <c r="V596" s="213"/>
      <c r="W596" s="213"/>
      <c r="X596" s="213"/>
      <c r="Y596" s="213"/>
      <c r="Z596" s="213"/>
      <c r="AA596" s="213"/>
      <c r="AB596" s="213"/>
      <c r="AC596" s="213"/>
      <c r="AD596" s="213"/>
    </row>
    <row r="597" ht="15.75" customHeight="1">
      <c r="A597" s="257"/>
      <c r="B597" s="213"/>
      <c r="C597" s="213"/>
      <c r="D597" s="213"/>
      <c r="E597" s="213"/>
      <c r="F597" s="213"/>
      <c r="G597" s="213"/>
      <c r="H597" s="213"/>
      <c r="I597" s="213"/>
      <c r="J597" s="213"/>
      <c r="K597" s="213"/>
      <c r="L597" s="213"/>
      <c r="M597" s="213"/>
      <c r="N597" s="213"/>
      <c r="O597" s="213"/>
      <c r="P597" s="213"/>
      <c r="Q597" s="213"/>
      <c r="R597" s="213"/>
      <c r="S597" s="213"/>
      <c r="T597" s="213"/>
      <c r="U597" s="213"/>
      <c r="V597" s="213"/>
      <c r="W597" s="213"/>
      <c r="X597" s="213"/>
      <c r="Y597" s="213"/>
      <c r="Z597" s="213"/>
      <c r="AA597" s="213"/>
      <c r="AB597" s="213"/>
      <c r="AC597" s="213"/>
      <c r="AD597" s="213"/>
    </row>
    <row r="598" ht="15.75" customHeight="1">
      <c r="A598" s="257"/>
      <c r="B598" s="213"/>
      <c r="C598" s="213"/>
      <c r="D598" s="213"/>
      <c r="E598" s="213"/>
      <c r="F598" s="213"/>
      <c r="G598" s="213"/>
      <c r="H598" s="213"/>
      <c r="I598" s="213"/>
      <c r="J598" s="213"/>
      <c r="K598" s="213"/>
      <c r="L598" s="213"/>
      <c r="M598" s="213"/>
      <c r="N598" s="213"/>
      <c r="O598" s="213"/>
      <c r="P598" s="213"/>
      <c r="Q598" s="213"/>
      <c r="R598" s="213"/>
      <c r="S598" s="213"/>
      <c r="T598" s="213"/>
      <c r="U598" s="213"/>
      <c r="V598" s="213"/>
      <c r="W598" s="213"/>
      <c r="X598" s="213"/>
      <c r="Y598" s="213"/>
      <c r="Z598" s="213"/>
      <c r="AA598" s="213"/>
      <c r="AB598" s="213"/>
      <c r="AC598" s="213"/>
      <c r="AD598" s="213"/>
    </row>
    <row r="599" ht="15.75" customHeight="1">
      <c r="A599" s="257"/>
      <c r="B599" s="213"/>
      <c r="C599" s="213"/>
      <c r="D599" s="213"/>
      <c r="E599" s="213"/>
      <c r="F599" s="213"/>
      <c r="G599" s="213"/>
      <c r="H599" s="213"/>
      <c r="I599" s="213"/>
      <c r="J599" s="213"/>
      <c r="K599" s="213"/>
      <c r="L599" s="213"/>
      <c r="M599" s="213"/>
      <c r="N599" s="213"/>
      <c r="O599" s="213"/>
      <c r="P599" s="213"/>
      <c r="Q599" s="213"/>
      <c r="R599" s="213"/>
      <c r="S599" s="213"/>
      <c r="T599" s="213"/>
      <c r="U599" s="213"/>
      <c r="V599" s="213"/>
      <c r="W599" s="213"/>
      <c r="X599" s="213"/>
      <c r="Y599" s="213"/>
      <c r="Z599" s="213"/>
      <c r="AA599" s="213"/>
      <c r="AB599" s="213"/>
      <c r="AC599" s="213"/>
      <c r="AD599" s="213"/>
    </row>
    <row r="600" ht="15.75" customHeight="1">
      <c r="A600" s="257"/>
      <c r="B600" s="213"/>
      <c r="C600" s="213"/>
      <c r="D600" s="213"/>
      <c r="E600" s="213"/>
      <c r="F600" s="213"/>
      <c r="G600" s="213"/>
      <c r="H600" s="213"/>
      <c r="I600" s="213"/>
      <c r="J600" s="213"/>
      <c r="K600" s="213"/>
      <c r="L600" s="213"/>
      <c r="M600" s="213"/>
      <c r="N600" s="213"/>
      <c r="O600" s="213"/>
      <c r="P600" s="213"/>
      <c r="Q600" s="213"/>
      <c r="R600" s="213"/>
      <c r="S600" s="213"/>
      <c r="T600" s="213"/>
      <c r="U600" s="213"/>
      <c r="V600" s="213"/>
      <c r="W600" s="213"/>
      <c r="X600" s="213"/>
      <c r="Y600" s="213"/>
      <c r="Z600" s="213"/>
      <c r="AA600" s="213"/>
      <c r="AB600" s="213"/>
      <c r="AC600" s="213"/>
      <c r="AD600" s="213"/>
    </row>
    <row r="601" ht="15.75" customHeight="1">
      <c r="A601" s="257"/>
      <c r="B601" s="213"/>
      <c r="C601" s="213"/>
      <c r="D601" s="213"/>
      <c r="E601" s="213"/>
      <c r="F601" s="213"/>
      <c r="G601" s="213"/>
      <c r="H601" s="213"/>
      <c r="I601" s="213"/>
      <c r="J601" s="213"/>
      <c r="K601" s="213"/>
      <c r="L601" s="213"/>
      <c r="M601" s="213"/>
      <c r="N601" s="213"/>
      <c r="O601" s="213"/>
      <c r="P601" s="213"/>
      <c r="Q601" s="213"/>
      <c r="R601" s="213"/>
      <c r="S601" s="213"/>
      <c r="T601" s="213"/>
      <c r="U601" s="213"/>
      <c r="V601" s="213"/>
      <c r="W601" s="213"/>
      <c r="X601" s="213"/>
      <c r="Y601" s="213"/>
      <c r="Z601" s="213"/>
      <c r="AA601" s="213"/>
      <c r="AB601" s="213"/>
      <c r="AC601" s="213"/>
      <c r="AD601" s="213"/>
    </row>
    <row r="602" ht="15.75" customHeight="1">
      <c r="A602" s="257"/>
      <c r="B602" s="213"/>
      <c r="C602" s="213"/>
      <c r="D602" s="213"/>
      <c r="E602" s="213"/>
      <c r="F602" s="213"/>
      <c r="G602" s="213"/>
      <c r="H602" s="213"/>
      <c r="I602" s="213"/>
      <c r="J602" s="213"/>
      <c r="K602" s="213"/>
      <c r="L602" s="213"/>
      <c r="M602" s="213"/>
      <c r="N602" s="213"/>
      <c r="O602" s="213"/>
      <c r="P602" s="213"/>
      <c r="Q602" s="213"/>
      <c r="R602" s="213"/>
      <c r="S602" s="213"/>
      <c r="T602" s="213"/>
      <c r="U602" s="213"/>
      <c r="V602" s="213"/>
      <c r="W602" s="213"/>
      <c r="X602" s="213"/>
      <c r="Y602" s="213"/>
      <c r="Z602" s="213"/>
      <c r="AA602" s="213"/>
      <c r="AB602" s="213"/>
      <c r="AC602" s="213"/>
      <c r="AD602" s="213"/>
    </row>
    <row r="603" ht="15.75" customHeight="1">
      <c r="A603" s="257"/>
      <c r="B603" s="213"/>
      <c r="C603" s="213"/>
      <c r="D603" s="213"/>
      <c r="E603" s="213"/>
      <c r="F603" s="213"/>
      <c r="G603" s="213"/>
      <c r="H603" s="213"/>
      <c r="I603" s="213"/>
      <c r="J603" s="213"/>
      <c r="K603" s="213"/>
      <c r="L603" s="213"/>
      <c r="M603" s="213"/>
      <c r="N603" s="213"/>
      <c r="O603" s="213"/>
      <c r="P603" s="213"/>
      <c r="Q603" s="213"/>
      <c r="R603" s="213"/>
      <c r="S603" s="213"/>
      <c r="T603" s="213"/>
      <c r="U603" s="213"/>
      <c r="V603" s="213"/>
      <c r="W603" s="213"/>
      <c r="X603" s="213"/>
      <c r="Y603" s="213"/>
      <c r="Z603" s="213"/>
      <c r="AA603" s="213"/>
      <c r="AB603" s="213"/>
      <c r="AC603" s="213"/>
      <c r="AD603" s="213"/>
    </row>
    <row r="604" ht="15.75" customHeight="1">
      <c r="A604" s="257"/>
      <c r="B604" s="213"/>
      <c r="C604" s="213"/>
      <c r="D604" s="213"/>
      <c r="E604" s="213"/>
      <c r="F604" s="213"/>
      <c r="G604" s="213"/>
      <c r="H604" s="213"/>
      <c r="I604" s="213"/>
      <c r="J604" s="213"/>
      <c r="K604" s="213"/>
      <c r="L604" s="213"/>
      <c r="M604" s="213"/>
      <c r="N604" s="213"/>
      <c r="O604" s="213"/>
      <c r="P604" s="213"/>
      <c r="Q604" s="213"/>
      <c r="R604" s="213"/>
      <c r="S604" s="213"/>
      <c r="T604" s="213"/>
      <c r="U604" s="213"/>
      <c r="V604" s="213"/>
      <c r="W604" s="213"/>
      <c r="X604" s="213"/>
      <c r="Y604" s="213"/>
      <c r="Z604" s="213"/>
      <c r="AA604" s="213"/>
      <c r="AB604" s="213"/>
      <c r="AC604" s="213"/>
      <c r="AD604" s="213"/>
    </row>
    <row r="605" ht="15.75" customHeight="1">
      <c r="A605" s="257"/>
      <c r="B605" s="213"/>
      <c r="C605" s="213"/>
      <c r="D605" s="213"/>
      <c r="E605" s="213"/>
      <c r="F605" s="213"/>
      <c r="G605" s="213"/>
      <c r="H605" s="213"/>
      <c r="I605" s="213"/>
      <c r="J605" s="213"/>
      <c r="K605" s="213"/>
      <c r="L605" s="213"/>
      <c r="M605" s="213"/>
      <c r="N605" s="213"/>
      <c r="O605" s="213"/>
      <c r="P605" s="213"/>
      <c r="Q605" s="213"/>
      <c r="R605" s="213"/>
      <c r="S605" s="213"/>
      <c r="T605" s="213"/>
      <c r="U605" s="213"/>
      <c r="V605" s="213"/>
      <c r="W605" s="213"/>
      <c r="X605" s="213"/>
      <c r="Y605" s="213"/>
      <c r="Z605" s="213"/>
      <c r="AA605" s="213"/>
      <c r="AB605" s="213"/>
      <c r="AC605" s="213"/>
      <c r="AD605" s="213"/>
    </row>
    <row r="606" ht="15.75" customHeight="1">
      <c r="A606" s="257"/>
      <c r="B606" s="213"/>
      <c r="C606" s="213"/>
      <c r="D606" s="213"/>
      <c r="E606" s="213"/>
      <c r="F606" s="213"/>
      <c r="G606" s="213"/>
      <c r="H606" s="213"/>
      <c r="I606" s="213"/>
      <c r="J606" s="213"/>
      <c r="K606" s="213"/>
      <c r="L606" s="213"/>
      <c r="M606" s="213"/>
      <c r="N606" s="213"/>
      <c r="O606" s="213"/>
      <c r="P606" s="213"/>
      <c r="Q606" s="213"/>
      <c r="R606" s="213"/>
      <c r="S606" s="213"/>
      <c r="T606" s="213"/>
      <c r="U606" s="213"/>
      <c r="V606" s="213"/>
      <c r="W606" s="213"/>
      <c r="X606" s="213"/>
      <c r="Y606" s="213"/>
      <c r="Z606" s="213"/>
      <c r="AA606" s="213"/>
      <c r="AB606" s="213"/>
      <c r="AC606" s="213"/>
      <c r="AD606" s="213"/>
    </row>
    <row r="607" ht="15.75" customHeight="1">
      <c r="A607" s="257"/>
      <c r="B607" s="213"/>
      <c r="C607" s="213"/>
      <c r="D607" s="213"/>
      <c r="E607" s="213"/>
      <c r="F607" s="213"/>
      <c r="G607" s="213"/>
      <c r="H607" s="213"/>
      <c r="I607" s="213"/>
      <c r="J607" s="213"/>
      <c r="K607" s="213"/>
      <c r="L607" s="213"/>
      <c r="M607" s="213"/>
      <c r="N607" s="213"/>
      <c r="O607" s="213"/>
      <c r="P607" s="213"/>
      <c r="Q607" s="213"/>
      <c r="R607" s="213"/>
      <c r="S607" s="213"/>
      <c r="T607" s="213"/>
      <c r="U607" s="213"/>
      <c r="V607" s="213"/>
      <c r="W607" s="213"/>
      <c r="X607" s="213"/>
      <c r="Y607" s="213"/>
      <c r="Z607" s="213"/>
      <c r="AA607" s="213"/>
      <c r="AB607" s="213"/>
      <c r="AC607" s="213"/>
      <c r="AD607" s="213"/>
    </row>
    <row r="608" ht="15.75" customHeight="1">
      <c r="A608" s="257"/>
      <c r="B608" s="213"/>
      <c r="C608" s="213"/>
      <c r="D608" s="213"/>
      <c r="E608" s="213"/>
      <c r="F608" s="213"/>
      <c r="G608" s="213"/>
      <c r="H608" s="213"/>
      <c r="I608" s="213"/>
      <c r="J608" s="213"/>
      <c r="K608" s="213"/>
      <c r="L608" s="213"/>
      <c r="M608" s="213"/>
      <c r="N608" s="213"/>
      <c r="O608" s="213"/>
      <c r="P608" s="213"/>
      <c r="Q608" s="213"/>
      <c r="R608" s="213"/>
      <c r="S608" s="213"/>
      <c r="T608" s="213"/>
      <c r="U608" s="213"/>
      <c r="V608" s="213"/>
      <c r="W608" s="213"/>
      <c r="X608" s="213"/>
      <c r="Y608" s="213"/>
      <c r="Z608" s="213"/>
      <c r="AA608" s="213"/>
      <c r="AB608" s="213"/>
      <c r="AC608" s="213"/>
      <c r="AD608" s="213"/>
    </row>
    <row r="609" ht="15.75" customHeight="1">
      <c r="A609" s="257"/>
      <c r="B609" s="213"/>
      <c r="C609" s="213"/>
      <c r="D609" s="213"/>
      <c r="E609" s="213"/>
      <c r="F609" s="213"/>
      <c r="G609" s="213"/>
      <c r="H609" s="213"/>
      <c r="I609" s="213"/>
      <c r="J609" s="213"/>
      <c r="K609" s="213"/>
      <c r="L609" s="213"/>
      <c r="M609" s="213"/>
      <c r="N609" s="213"/>
      <c r="O609" s="213"/>
      <c r="P609" s="213"/>
      <c r="Q609" s="213"/>
      <c r="R609" s="213"/>
      <c r="S609" s="213"/>
      <c r="T609" s="213"/>
      <c r="U609" s="213"/>
      <c r="V609" s="213"/>
      <c r="W609" s="213"/>
      <c r="X609" s="213"/>
      <c r="Y609" s="213"/>
      <c r="Z609" s="213"/>
      <c r="AA609" s="213"/>
      <c r="AB609" s="213"/>
      <c r="AC609" s="213"/>
      <c r="AD609" s="213"/>
    </row>
    <row r="610" ht="15.75" customHeight="1">
      <c r="A610" s="257"/>
      <c r="B610" s="213"/>
      <c r="C610" s="213"/>
      <c r="D610" s="213"/>
      <c r="E610" s="213"/>
      <c r="F610" s="213"/>
      <c r="G610" s="213"/>
      <c r="H610" s="213"/>
      <c r="I610" s="213"/>
      <c r="J610" s="213"/>
      <c r="K610" s="213"/>
      <c r="L610" s="213"/>
      <c r="M610" s="213"/>
      <c r="N610" s="213"/>
      <c r="O610" s="213"/>
      <c r="P610" s="213"/>
      <c r="Q610" s="213"/>
      <c r="R610" s="213"/>
      <c r="S610" s="213"/>
      <c r="T610" s="213"/>
      <c r="U610" s="213"/>
      <c r="V610" s="213"/>
      <c r="W610" s="213"/>
      <c r="X610" s="213"/>
      <c r="Y610" s="213"/>
      <c r="Z610" s="213"/>
      <c r="AA610" s="213"/>
      <c r="AB610" s="213"/>
      <c r="AC610" s="213"/>
      <c r="AD610" s="213"/>
    </row>
    <row r="611" ht="15.75" customHeight="1">
      <c r="A611" s="257"/>
      <c r="B611" s="213"/>
      <c r="C611" s="213"/>
      <c r="D611" s="213"/>
      <c r="E611" s="213"/>
      <c r="F611" s="213"/>
      <c r="G611" s="213"/>
      <c r="H611" s="213"/>
      <c r="I611" s="213"/>
      <c r="J611" s="213"/>
      <c r="K611" s="213"/>
      <c r="L611" s="213"/>
      <c r="M611" s="213"/>
      <c r="N611" s="213"/>
      <c r="O611" s="213"/>
      <c r="P611" s="213"/>
      <c r="Q611" s="213"/>
      <c r="R611" s="213"/>
      <c r="S611" s="213"/>
      <c r="T611" s="213"/>
      <c r="U611" s="213"/>
      <c r="V611" s="213"/>
      <c r="W611" s="213"/>
      <c r="X611" s="213"/>
      <c r="Y611" s="213"/>
      <c r="Z611" s="213"/>
      <c r="AA611" s="213"/>
      <c r="AB611" s="213"/>
      <c r="AC611" s="213"/>
      <c r="AD611" s="213"/>
    </row>
    <row r="612" ht="15.75" customHeight="1">
      <c r="A612" s="257"/>
      <c r="B612" s="213"/>
      <c r="C612" s="213"/>
      <c r="D612" s="213"/>
      <c r="E612" s="213"/>
      <c r="F612" s="213"/>
      <c r="G612" s="213"/>
      <c r="H612" s="213"/>
      <c r="I612" s="213"/>
      <c r="J612" s="213"/>
      <c r="K612" s="213"/>
      <c r="L612" s="213"/>
      <c r="M612" s="213"/>
      <c r="N612" s="213"/>
      <c r="O612" s="213"/>
      <c r="P612" s="213"/>
      <c r="Q612" s="213"/>
      <c r="R612" s="213"/>
      <c r="S612" s="213"/>
      <c r="T612" s="213"/>
      <c r="U612" s="213"/>
      <c r="V612" s="213"/>
      <c r="W612" s="213"/>
      <c r="X612" s="213"/>
      <c r="Y612" s="213"/>
      <c r="Z612" s="213"/>
      <c r="AA612" s="213"/>
      <c r="AB612" s="213"/>
      <c r="AC612" s="213"/>
      <c r="AD612" s="213"/>
    </row>
    <row r="613" ht="15.75" customHeight="1">
      <c r="A613" s="257"/>
      <c r="B613" s="213"/>
      <c r="C613" s="213"/>
      <c r="D613" s="213"/>
      <c r="E613" s="213"/>
      <c r="F613" s="213"/>
      <c r="G613" s="213"/>
      <c r="H613" s="213"/>
      <c r="I613" s="213"/>
      <c r="J613" s="213"/>
      <c r="K613" s="213"/>
      <c r="L613" s="213"/>
      <c r="M613" s="213"/>
      <c r="N613" s="213"/>
      <c r="O613" s="213"/>
      <c r="P613" s="213"/>
      <c r="Q613" s="213"/>
      <c r="R613" s="213"/>
      <c r="S613" s="213"/>
      <c r="T613" s="213"/>
      <c r="U613" s="213"/>
      <c r="V613" s="213"/>
      <c r="W613" s="213"/>
      <c r="X613" s="213"/>
      <c r="Y613" s="213"/>
      <c r="Z613" s="213"/>
      <c r="AA613" s="213"/>
      <c r="AB613" s="213"/>
      <c r="AC613" s="213"/>
      <c r="AD613" s="213"/>
    </row>
    <row r="614" ht="15.75" customHeight="1">
      <c r="A614" s="257"/>
      <c r="B614" s="213"/>
      <c r="C614" s="213"/>
      <c r="D614" s="213"/>
      <c r="E614" s="213"/>
      <c r="F614" s="213"/>
      <c r="G614" s="213"/>
      <c r="H614" s="213"/>
      <c r="I614" s="213"/>
      <c r="J614" s="213"/>
      <c r="K614" s="213"/>
      <c r="L614" s="213"/>
      <c r="M614" s="213"/>
      <c r="N614" s="213"/>
      <c r="O614" s="213"/>
      <c r="P614" s="213"/>
      <c r="Q614" s="213"/>
      <c r="R614" s="213"/>
      <c r="S614" s="213"/>
      <c r="T614" s="213"/>
      <c r="U614" s="213"/>
      <c r="V614" s="213"/>
      <c r="W614" s="213"/>
      <c r="X614" s="213"/>
      <c r="Y614" s="213"/>
      <c r="Z614" s="213"/>
      <c r="AA614" s="213"/>
      <c r="AB614" s="213"/>
      <c r="AC614" s="213"/>
      <c r="AD614" s="213"/>
    </row>
    <row r="615" ht="15.75" customHeight="1">
      <c r="A615" s="257"/>
      <c r="B615" s="213"/>
      <c r="C615" s="213"/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3"/>
      <c r="Q615" s="213"/>
      <c r="R615" s="213"/>
      <c r="S615" s="213"/>
      <c r="T615" s="213"/>
      <c r="U615" s="213"/>
      <c r="V615" s="213"/>
      <c r="W615" s="213"/>
      <c r="X615" s="213"/>
      <c r="Y615" s="213"/>
      <c r="Z615" s="213"/>
      <c r="AA615" s="213"/>
      <c r="AB615" s="213"/>
      <c r="AC615" s="213"/>
      <c r="AD615" s="213"/>
    </row>
    <row r="616" ht="15.75" customHeight="1">
      <c r="A616" s="257"/>
      <c r="B616" s="213"/>
      <c r="C616" s="213"/>
      <c r="D616" s="213"/>
      <c r="E616" s="213"/>
      <c r="F616" s="213"/>
      <c r="G616" s="213"/>
      <c r="H616" s="213"/>
      <c r="I616" s="213"/>
      <c r="J616" s="213"/>
      <c r="K616" s="213"/>
      <c r="L616" s="213"/>
      <c r="M616" s="213"/>
      <c r="N616" s="213"/>
      <c r="O616" s="213"/>
      <c r="P616" s="213"/>
      <c r="Q616" s="213"/>
      <c r="R616" s="213"/>
      <c r="S616" s="213"/>
      <c r="T616" s="213"/>
      <c r="U616" s="213"/>
      <c r="V616" s="213"/>
      <c r="W616" s="213"/>
      <c r="X616" s="213"/>
      <c r="Y616" s="213"/>
      <c r="Z616" s="213"/>
      <c r="AA616" s="213"/>
      <c r="AB616" s="213"/>
      <c r="AC616" s="213"/>
      <c r="AD616" s="213"/>
    </row>
    <row r="617" ht="15.75" customHeight="1">
      <c r="A617" s="257"/>
      <c r="B617" s="213"/>
      <c r="C617" s="213"/>
      <c r="D617" s="213"/>
      <c r="E617" s="213"/>
      <c r="F617" s="213"/>
      <c r="G617" s="213"/>
      <c r="H617" s="213"/>
      <c r="I617" s="213"/>
      <c r="J617" s="213"/>
      <c r="K617" s="213"/>
      <c r="L617" s="213"/>
      <c r="M617" s="213"/>
      <c r="N617" s="213"/>
      <c r="O617" s="213"/>
      <c r="P617" s="213"/>
      <c r="Q617" s="213"/>
      <c r="R617" s="213"/>
      <c r="S617" s="213"/>
      <c r="T617" s="213"/>
      <c r="U617" s="213"/>
      <c r="V617" s="213"/>
      <c r="W617" s="213"/>
      <c r="X617" s="213"/>
      <c r="Y617" s="213"/>
      <c r="Z617" s="213"/>
      <c r="AA617" s="213"/>
      <c r="AB617" s="213"/>
      <c r="AC617" s="213"/>
      <c r="AD617" s="213"/>
    </row>
    <row r="618" ht="15.75" customHeight="1">
      <c r="A618" s="257"/>
      <c r="B618" s="213"/>
      <c r="C618" s="213"/>
      <c r="D618" s="213"/>
      <c r="E618" s="213"/>
      <c r="F618" s="213"/>
      <c r="G618" s="213"/>
      <c r="H618" s="213"/>
      <c r="I618" s="213"/>
      <c r="J618" s="213"/>
      <c r="K618" s="213"/>
      <c r="L618" s="213"/>
      <c r="M618" s="213"/>
      <c r="N618" s="213"/>
      <c r="O618" s="213"/>
      <c r="P618" s="213"/>
      <c r="Q618" s="213"/>
      <c r="R618" s="213"/>
      <c r="S618" s="213"/>
      <c r="T618" s="213"/>
      <c r="U618" s="213"/>
      <c r="V618" s="213"/>
      <c r="W618" s="213"/>
      <c r="X618" s="213"/>
      <c r="Y618" s="213"/>
      <c r="Z618" s="213"/>
      <c r="AA618" s="213"/>
      <c r="AB618" s="213"/>
      <c r="AC618" s="213"/>
      <c r="AD618" s="213"/>
    </row>
    <row r="619" ht="15.75" customHeight="1">
      <c r="A619" s="257"/>
      <c r="B619" s="213"/>
      <c r="C619" s="213"/>
      <c r="D619" s="213"/>
      <c r="E619" s="213"/>
      <c r="F619" s="213"/>
      <c r="G619" s="213"/>
      <c r="H619" s="213"/>
      <c r="I619" s="213"/>
      <c r="J619" s="213"/>
      <c r="K619" s="213"/>
      <c r="L619" s="213"/>
      <c r="M619" s="213"/>
      <c r="N619" s="213"/>
      <c r="O619" s="213"/>
      <c r="P619" s="213"/>
      <c r="Q619" s="213"/>
      <c r="R619" s="213"/>
      <c r="S619" s="213"/>
      <c r="T619" s="213"/>
      <c r="U619" s="213"/>
      <c r="V619" s="213"/>
      <c r="W619" s="213"/>
      <c r="X619" s="213"/>
      <c r="Y619" s="213"/>
      <c r="Z619" s="213"/>
      <c r="AA619" s="213"/>
      <c r="AB619" s="213"/>
      <c r="AC619" s="213"/>
      <c r="AD619" s="213"/>
    </row>
    <row r="620" ht="15.75" customHeight="1">
      <c r="A620" s="257"/>
      <c r="B620" s="213"/>
      <c r="C620" s="213"/>
      <c r="D620" s="213"/>
      <c r="E620" s="213"/>
      <c r="F620" s="213"/>
      <c r="G620" s="213"/>
      <c r="H620" s="213"/>
      <c r="I620" s="213"/>
      <c r="J620" s="213"/>
      <c r="K620" s="213"/>
      <c r="L620" s="213"/>
      <c r="M620" s="213"/>
      <c r="N620" s="213"/>
      <c r="O620" s="213"/>
      <c r="P620" s="213"/>
      <c r="Q620" s="213"/>
      <c r="R620" s="213"/>
      <c r="S620" s="213"/>
      <c r="T620" s="213"/>
      <c r="U620" s="213"/>
      <c r="V620" s="213"/>
      <c r="W620" s="213"/>
      <c r="X620" s="213"/>
      <c r="Y620" s="213"/>
      <c r="Z620" s="213"/>
      <c r="AA620" s="213"/>
      <c r="AB620" s="213"/>
      <c r="AC620" s="213"/>
      <c r="AD620" s="213"/>
    </row>
    <row r="621" ht="15.75" customHeight="1">
      <c r="A621" s="257"/>
      <c r="B621" s="213"/>
      <c r="C621" s="213"/>
      <c r="D621" s="213"/>
      <c r="E621" s="213"/>
      <c r="F621" s="213"/>
      <c r="G621" s="213"/>
      <c r="H621" s="213"/>
      <c r="I621" s="213"/>
      <c r="J621" s="213"/>
      <c r="K621" s="213"/>
      <c r="L621" s="213"/>
      <c r="M621" s="213"/>
      <c r="N621" s="213"/>
      <c r="O621" s="213"/>
      <c r="P621" s="213"/>
      <c r="Q621" s="213"/>
      <c r="R621" s="213"/>
      <c r="S621" s="213"/>
      <c r="T621" s="213"/>
      <c r="U621" s="213"/>
      <c r="V621" s="213"/>
      <c r="W621" s="213"/>
      <c r="X621" s="213"/>
      <c r="Y621" s="213"/>
      <c r="Z621" s="213"/>
      <c r="AA621" s="213"/>
      <c r="AB621" s="213"/>
      <c r="AC621" s="213"/>
      <c r="AD621" s="213"/>
    </row>
    <row r="622" ht="15.75" customHeight="1">
      <c r="A622" s="257"/>
      <c r="B622" s="213"/>
      <c r="C622" s="213"/>
      <c r="D622" s="213"/>
      <c r="E622" s="213"/>
      <c r="F622" s="213"/>
      <c r="G622" s="213"/>
      <c r="H622" s="213"/>
      <c r="I622" s="213"/>
      <c r="J622" s="213"/>
      <c r="K622" s="213"/>
      <c r="L622" s="213"/>
      <c r="M622" s="213"/>
      <c r="N622" s="213"/>
      <c r="O622" s="213"/>
      <c r="P622" s="213"/>
      <c r="Q622" s="213"/>
      <c r="R622" s="213"/>
      <c r="S622" s="213"/>
      <c r="T622" s="213"/>
      <c r="U622" s="213"/>
      <c r="V622" s="213"/>
      <c r="W622" s="213"/>
      <c r="X622" s="213"/>
      <c r="Y622" s="213"/>
      <c r="Z622" s="213"/>
      <c r="AA622" s="213"/>
      <c r="AB622" s="213"/>
      <c r="AC622" s="213"/>
      <c r="AD622" s="213"/>
    </row>
    <row r="623" ht="15.75" customHeight="1">
      <c r="A623" s="257"/>
      <c r="B623" s="213"/>
      <c r="C623" s="213"/>
      <c r="D623" s="213"/>
      <c r="E623" s="213"/>
      <c r="F623" s="213"/>
      <c r="G623" s="213"/>
      <c r="H623" s="213"/>
      <c r="I623" s="213"/>
      <c r="J623" s="213"/>
      <c r="K623" s="213"/>
      <c r="L623" s="213"/>
      <c r="M623" s="213"/>
      <c r="N623" s="213"/>
      <c r="O623" s="213"/>
      <c r="P623" s="213"/>
      <c r="Q623" s="213"/>
      <c r="R623" s="213"/>
      <c r="S623" s="213"/>
      <c r="T623" s="213"/>
      <c r="U623" s="213"/>
      <c r="V623" s="213"/>
      <c r="W623" s="213"/>
      <c r="X623" s="213"/>
      <c r="Y623" s="213"/>
      <c r="Z623" s="213"/>
      <c r="AA623" s="213"/>
      <c r="AB623" s="213"/>
      <c r="AC623" s="213"/>
      <c r="AD623" s="213"/>
    </row>
    <row r="624" ht="15.75" customHeight="1">
      <c r="A624" s="257"/>
      <c r="B624" s="213"/>
      <c r="C624" s="213"/>
      <c r="D624" s="213"/>
      <c r="E624" s="213"/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  <c r="Q624" s="213"/>
      <c r="R624" s="213"/>
      <c r="S624" s="213"/>
      <c r="T624" s="213"/>
      <c r="U624" s="213"/>
      <c r="V624" s="213"/>
      <c r="W624" s="213"/>
      <c r="X624" s="213"/>
      <c r="Y624" s="213"/>
      <c r="Z624" s="213"/>
      <c r="AA624" s="213"/>
      <c r="AB624" s="213"/>
      <c r="AC624" s="213"/>
      <c r="AD624" s="213"/>
    </row>
    <row r="625" ht="15.75" customHeight="1">
      <c r="A625" s="257"/>
      <c r="B625" s="213"/>
      <c r="C625" s="213"/>
      <c r="D625" s="213"/>
      <c r="E625" s="213"/>
      <c r="F625" s="213"/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  <c r="Q625" s="213"/>
      <c r="R625" s="213"/>
      <c r="S625" s="213"/>
      <c r="T625" s="213"/>
      <c r="U625" s="213"/>
      <c r="V625" s="213"/>
      <c r="W625" s="213"/>
      <c r="X625" s="213"/>
      <c r="Y625" s="213"/>
      <c r="Z625" s="213"/>
      <c r="AA625" s="213"/>
      <c r="AB625" s="213"/>
      <c r="AC625" s="213"/>
      <c r="AD625" s="213"/>
    </row>
    <row r="626" ht="15.75" customHeight="1">
      <c r="A626" s="257"/>
      <c r="B626" s="213"/>
      <c r="C626" s="213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  <c r="Q626" s="213"/>
      <c r="R626" s="213"/>
      <c r="S626" s="213"/>
      <c r="T626" s="213"/>
      <c r="U626" s="213"/>
      <c r="V626" s="213"/>
      <c r="W626" s="213"/>
      <c r="X626" s="213"/>
      <c r="Y626" s="213"/>
      <c r="Z626" s="213"/>
      <c r="AA626" s="213"/>
      <c r="AB626" s="213"/>
      <c r="AC626" s="213"/>
      <c r="AD626" s="213"/>
    </row>
    <row r="627" ht="15.75" customHeight="1">
      <c r="A627" s="257"/>
      <c r="B627" s="213"/>
      <c r="C627" s="213"/>
      <c r="D627" s="213"/>
      <c r="E627" s="213"/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  <c r="Q627" s="213"/>
      <c r="R627" s="213"/>
      <c r="S627" s="213"/>
      <c r="T627" s="213"/>
      <c r="U627" s="213"/>
      <c r="V627" s="213"/>
      <c r="W627" s="213"/>
      <c r="X627" s="213"/>
      <c r="Y627" s="213"/>
      <c r="Z627" s="213"/>
      <c r="AA627" s="213"/>
      <c r="AB627" s="213"/>
      <c r="AC627" s="213"/>
      <c r="AD627" s="213"/>
    </row>
    <row r="628" ht="15.75" customHeight="1">
      <c r="A628" s="257"/>
      <c r="B628" s="213"/>
      <c r="C628" s="213"/>
      <c r="D628" s="213"/>
      <c r="E628" s="213"/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  <c r="Q628" s="213"/>
      <c r="R628" s="213"/>
      <c r="S628" s="213"/>
      <c r="T628" s="213"/>
      <c r="U628" s="213"/>
      <c r="V628" s="213"/>
      <c r="W628" s="213"/>
      <c r="X628" s="213"/>
      <c r="Y628" s="213"/>
      <c r="Z628" s="213"/>
      <c r="AA628" s="213"/>
      <c r="AB628" s="213"/>
      <c r="AC628" s="213"/>
      <c r="AD628" s="213"/>
    </row>
    <row r="629" ht="15.75" customHeight="1">
      <c r="A629" s="257"/>
      <c r="B629" s="213"/>
      <c r="C629" s="213"/>
      <c r="D629" s="213"/>
      <c r="E629" s="213"/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  <c r="Q629" s="213"/>
      <c r="R629" s="213"/>
      <c r="S629" s="213"/>
      <c r="T629" s="213"/>
      <c r="U629" s="213"/>
      <c r="V629" s="213"/>
      <c r="W629" s="213"/>
      <c r="X629" s="213"/>
      <c r="Y629" s="213"/>
      <c r="Z629" s="213"/>
      <c r="AA629" s="213"/>
      <c r="AB629" s="213"/>
      <c r="AC629" s="213"/>
      <c r="AD629" s="213"/>
    </row>
    <row r="630" ht="15.75" customHeight="1">
      <c r="A630" s="257"/>
      <c r="B630" s="213"/>
      <c r="C630" s="213"/>
      <c r="D630" s="213"/>
      <c r="E630" s="213"/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  <c r="Q630" s="213"/>
      <c r="R630" s="213"/>
      <c r="S630" s="213"/>
      <c r="T630" s="213"/>
      <c r="U630" s="213"/>
      <c r="V630" s="213"/>
      <c r="W630" s="213"/>
      <c r="X630" s="213"/>
      <c r="Y630" s="213"/>
      <c r="Z630" s="213"/>
      <c r="AA630" s="213"/>
      <c r="AB630" s="213"/>
      <c r="AC630" s="213"/>
      <c r="AD630" s="213"/>
    </row>
    <row r="631" ht="15.75" customHeight="1">
      <c r="A631" s="257"/>
      <c r="B631" s="213"/>
      <c r="C631" s="213"/>
      <c r="D631" s="213"/>
      <c r="E631" s="213"/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  <c r="Q631" s="213"/>
      <c r="R631" s="213"/>
      <c r="S631" s="213"/>
      <c r="T631" s="213"/>
      <c r="U631" s="213"/>
      <c r="V631" s="213"/>
      <c r="W631" s="213"/>
      <c r="X631" s="213"/>
      <c r="Y631" s="213"/>
      <c r="Z631" s="213"/>
      <c r="AA631" s="213"/>
      <c r="AB631" s="213"/>
      <c r="AC631" s="213"/>
      <c r="AD631" s="213"/>
    </row>
    <row r="632" ht="15.75" customHeight="1">
      <c r="A632" s="257"/>
      <c r="B632" s="213"/>
      <c r="C632" s="213"/>
      <c r="D632" s="213"/>
      <c r="E632" s="213"/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  <c r="Q632" s="213"/>
      <c r="R632" s="213"/>
      <c r="S632" s="213"/>
      <c r="T632" s="213"/>
      <c r="U632" s="213"/>
      <c r="V632" s="213"/>
      <c r="W632" s="213"/>
      <c r="X632" s="213"/>
      <c r="Y632" s="213"/>
      <c r="Z632" s="213"/>
      <c r="AA632" s="213"/>
      <c r="AB632" s="213"/>
      <c r="AC632" s="213"/>
      <c r="AD632" s="213"/>
    </row>
    <row r="633" ht="15.75" customHeight="1">
      <c r="A633" s="257"/>
      <c r="B633" s="213"/>
      <c r="C633" s="213"/>
      <c r="D633" s="213"/>
      <c r="E633" s="213"/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  <c r="Q633" s="213"/>
      <c r="R633" s="213"/>
      <c r="S633" s="213"/>
      <c r="T633" s="213"/>
      <c r="U633" s="213"/>
      <c r="V633" s="213"/>
      <c r="W633" s="213"/>
      <c r="X633" s="213"/>
      <c r="Y633" s="213"/>
      <c r="Z633" s="213"/>
      <c r="AA633" s="213"/>
      <c r="AB633" s="213"/>
      <c r="AC633" s="213"/>
      <c r="AD633" s="213"/>
    </row>
    <row r="634" ht="15.75" customHeight="1">
      <c r="A634" s="257"/>
      <c r="B634" s="213"/>
      <c r="C634" s="213"/>
      <c r="D634" s="213"/>
      <c r="E634" s="213"/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  <c r="Q634" s="213"/>
      <c r="R634" s="213"/>
      <c r="S634" s="213"/>
      <c r="T634" s="213"/>
      <c r="U634" s="213"/>
      <c r="V634" s="213"/>
      <c r="W634" s="213"/>
      <c r="X634" s="213"/>
      <c r="Y634" s="213"/>
      <c r="Z634" s="213"/>
      <c r="AA634" s="213"/>
      <c r="AB634" s="213"/>
      <c r="AC634" s="213"/>
      <c r="AD634" s="213"/>
    </row>
    <row r="635" ht="15.75" customHeight="1">
      <c r="A635" s="257"/>
      <c r="B635" s="213"/>
      <c r="C635" s="213"/>
      <c r="D635" s="213"/>
      <c r="E635" s="213"/>
      <c r="F635" s="213"/>
      <c r="G635" s="213"/>
      <c r="H635" s="213"/>
      <c r="I635" s="213"/>
      <c r="J635" s="213"/>
      <c r="K635" s="213"/>
      <c r="L635" s="213"/>
      <c r="M635" s="213"/>
      <c r="N635" s="213"/>
      <c r="O635" s="213"/>
      <c r="P635" s="213"/>
      <c r="Q635" s="213"/>
      <c r="R635" s="213"/>
      <c r="S635" s="213"/>
      <c r="T635" s="213"/>
      <c r="U635" s="213"/>
      <c r="V635" s="213"/>
      <c r="W635" s="213"/>
      <c r="X635" s="213"/>
      <c r="Y635" s="213"/>
      <c r="Z635" s="213"/>
      <c r="AA635" s="213"/>
      <c r="AB635" s="213"/>
      <c r="AC635" s="213"/>
      <c r="AD635" s="213"/>
    </row>
    <row r="636" ht="15.75" customHeight="1">
      <c r="A636" s="257"/>
      <c r="B636" s="213"/>
      <c r="C636" s="213"/>
      <c r="D636" s="213"/>
      <c r="E636" s="213"/>
      <c r="F636" s="213"/>
      <c r="G636" s="213"/>
      <c r="H636" s="213"/>
      <c r="I636" s="213"/>
      <c r="J636" s="213"/>
      <c r="K636" s="213"/>
      <c r="L636" s="213"/>
      <c r="M636" s="213"/>
      <c r="N636" s="213"/>
      <c r="O636" s="213"/>
      <c r="P636" s="213"/>
      <c r="Q636" s="213"/>
      <c r="R636" s="213"/>
      <c r="S636" s="213"/>
      <c r="T636" s="213"/>
      <c r="U636" s="213"/>
      <c r="V636" s="213"/>
      <c r="W636" s="213"/>
      <c r="X636" s="213"/>
      <c r="Y636" s="213"/>
      <c r="Z636" s="213"/>
      <c r="AA636" s="213"/>
      <c r="AB636" s="213"/>
      <c r="AC636" s="213"/>
      <c r="AD636" s="213"/>
    </row>
    <row r="637" ht="15.75" customHeight="1">
      <c r="A637" s="257"/>
      <c r="B637" s="213"/>
      <c r="C637" s="213"/>
      <c r="D637" s="213"/>
      <c r="E637" s="213"/>
      <c r="F637" s="213"/>
      <c r="G637" s="213"/>
      <c r="H637" s="213"/>
      <c r="I637" s="213"/>
      <c r="J637" s="213"/>
      <c r="K637" s="213"/>
      <c r="L637" s="213"/>
      <c r="M637" s="213"/>
      <c r="N637" s="213"/>
      <c r="O637" s="213"/>
      <c r="P637" s="213"/>
      <c r="Q637" s="213"/>
      <c r="R637" s="213"/>
      <c r="S637" s="213"/>
      <c r="T637" s="213"/>
      <c r="U637" s="213"/>
      <c r="V637" s="213"/>
      <c r="W637" s="213"/>
      <c r="X637" s="213"/>
      <c r="Y637" s="213"/>
      <c r="Z637" s="213"/>
      <c r="AA637" s="213"/>
      <c r="AB637" s="213"/>
      <c r="AC637" s="213"/>
      <c r="AD637" s="213"/>
    </row>
    <row r="638" ht="15.75" customHeight="1">
      <c r="A638" s="257"/>
      <c r="B638" s="213"/>
      <c r="C638" s="213"/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3"/>
      <c r="Q638" s="213"/>
      <c r="R638" s="213"/>
      <c r="S638" s="213"/>
      <c r="T638" s="213"/>
      <c r="U638" s="213"/>
      <c r="V638" s="213"/>
      <c r="W638" s="213"/>
      <c r="X638" s="213"/>
      <c r="Y638" s="213"/>
      <c r="Z638" s="213"/>
      <c r="AA638" s="213"/>
      <c r="AB638" s="213"/>
      <c r="AC638" s="213"/>
      <c r="AD638" s="213"/>
    </row>
    <row r="639" ht="15.75" customHeight="1">
      <c r="A639" s="257"/>
      <c r="B639" s="213"/>
      <c r="C639" s="213"/>
      <c r="D639" s="213"/>
      <c r="E639" s="213"/>
      <c r="F639" s="213"/>
      <c r="G639" s="213"/>
      <c r="H639" s="213"/>
      <c r="I639" s="213"/>
      <c r="J639" s="213"/>
      <c r="K639" s="213"/>
      <c r="L639" s="213"/>
      <c r="M639" s="213"/>
      <c r="N639" s="213"/>
      <c r="O639" s="213"/>
      <c r="P639" s="213"/>
      <c r="Q639" s="213"/>
      <c r="R639" s="213"/>
      <c r="S639" s="213"/>
      <c r="T639" s="213"/>
      <c r="U639" s="213"/>
      <c r="V639" s="213"/>
      <c r="W639" s="213"/>
      <c r="X639" s="213"/>
      <c r="Y639" s="213"/>
      <c r="Z639" s="213"/>
      <c r="AA639" s="213"/>
      <c r="AB639" s="213"/>
      <c r="AC639" s="213"/>
      <c r="AD639" s="213"/>
    </row>
    <row r="640" ht="15.75" customHeight="1">
      <c r="A640" s="257"/>
      <c r="B640" s="213"/>
      <c r="C640" s="213"/>
      <c r="D640" s="213"/>
      <c r="E640" s="213"/>
      <c r="F640" s="213"/>
      <c r="G640" s="213"/>
      <c r="H640" s="213"/>
      <c r="I640" s="213"/>
      <c r="J640" s="213"/>
      <c r="K640" s="213"/>
      <c r="L640" s="213"/>
      <c r="M640" s="213"/>
      <c r="N640" s="213"/>
      <c r="O640" s="213"/>
      <c r="P640" s="213"/>
      <c r="Q640" s="213"/>
      <c r="R640" s="213"/>
      <c r="S640" s="213"/>
      <c r="T640" s="213"/>
      <c r="U640" s="213"/>
      <c r="V640" s="213"/>
      <c r="W640" s="213"/>
      <c r="X640" s="213"/>
      <c r="Y640" s="213"/>
      <c r="Z640" s="213"/>
      <c r="AA640" s="213"/>
      <c r="AB640" s="213"/>
      <c r="AC640" s="213"/>
      <c r="AD640" s="213"/>
    </row>
    <row r="641" ht="15.75" customHeight="1">
      <c r="A641" s="257"/>
      <c r="B641" s="213"/>
      <c r="C641" s="213"/>
      <c r="D641" s="213"/>
      <c r="E641" s="213"/>
      <c r="F641" s="213"/>
      <c r="G641" s="213"/>
      <c r="H641" s="213"/>
      <c r="I641" s="213"/>
      <c r="J641" s="213"/>
      <c r="K641" s="213"/>
      <c r="L641" s="213"/>
      <c r="M641" s="213"/>
      <c r="N641" s="213"/>
      <c r="O641" s="213"/>
      <c r="P641" s="213"/>
      <c r="Q641" s="213"/>
      <c r="R641" s="213"/>
      <c r="S641" s="213"/>
      <c r="T641" s="213"/>
      <c r="U641" s="213"/>
      <c r="V641" s="213"/>
      <c r="W641" s="213"/>
      <c r="X641" s="213"/>
      <c r="Y641" s="213"/>
      <c r="Z641" s="213"/>
      <c r="AA641" s="213"/>
      <c r="AB641" s="213"/>
      <c r="AC641" s="213"/>
      <c r="AD641" s="213"/>
    </row>
    <row r="642" ht="15.75" customHeight="1">
      <c r="A642" s="257"/>
      <c r="B642" s="213"/>
      <c r="C642" s="213"/>
      <c r="D642" s="213"/>
      <c r="E642" s="213"/>
      <c r="F642" s="213"/>
      <c r="G642" s="213"/>
      <c r="H642" s="213"/>
      <c r="I642" s="213"/>
      <c r="J642" s="213"/>
      <c r="K642" s="213"/>
      <c r="L642" s="213"/>
      <c r="M642" s="213"/>
      <c r="N642" s="213"/>
      <c r="O642" s="213"/>
      <c r="P642" s="213"/>
      <c r="Q642" s="213"/>
      <c r="R642" s="213"/>
      <c r="S642" s="213"/>
      <c r="T642" s="213"/>
      <c r="U642" s="213"/>
      <c r="V642" s="213"/>
      <c r="W642" s="213"/>
      <c r="X642" s="213"/>
      <c r="Y642" s="213"/>
      <c r="Z642" s="213"/>
      <c r="AA642" s="213"/>
      <c r="AB642" s="213"/>
      <c r="AC642" s="213"/>
      <c r="AD642" s="213"/>
    </row>
    <row r="643" ht="15.75" customHeight="1">
      <c r="A643" s="257"/>
      <c r="B643" s="213"/>
      <c r="C643" s="213"/>
      <c r="D643" s="213"/>
      <c r="E643" s="213"/>
      <c r="F643" s="213"/>
      <c r="G643" s="213"/>
      <c r="H643" s="213"/>
      <c r="I643" s="213"/>
      <c r="J643" s="213"/>
      <c r="K643" s="213"/>
      <c r="L643" s="213"/>
      <c r="M643" s="213"/>
      <c r="N643" s="213"/>
      <c r="O643" s="213"/>
      <c r="P643" s="213"/>
      <c r="Q643" s="213"/>
      <c r="R643" s="213"/>
      <c r="S643" s="213"/>
      <c r="T643" s="213"/>
      <c r="U643" s="213"/>
      <c r="V643" s="213"/>
      <c r="W643" s="213"/>
      <c r="X643" s="213"/>
      <c r="Y643" s="213"/>
      <c r="Z643" s="213"/>
      <c r="AA643" s="213"/>
      <c r="AB643" s="213"/>
      <c r="AC643" s="213"/>
      <c r="AD643" s="213"/>
    </row>
    <row r="644" ht="15.75" customHeight="1">
      <c r="A644" s="257"/>
      <c r="B644" s="213"/>
      <c r="C644" s="213"/>
      <c r="D644" s="213"/>
      <c r="E644" s="213"/>
      <c r="F644" s="213"/>
      <c r="G644" s="213"/>
      <c r="H644" s="213"/>
      <c r="I644" s="213"/>
      <c r="J644" s="213"/>
      <c r="K644" s="213"/>
      <c r="L644" s="213"/>
      <c r="M644" s="213"/>
      <c r="N644" s="213"/>
      <c r="O644" s="213"/>
      <c r="P644" s="213"/>
      <c r="Q644" s="213"/>
      <c r="R644" s="213"/>
      <c r="S644" s="213"/>
      <c r="T644" s="213"/>
      <c r="U644" s="213"/>
      <c r="V644" s="213"/>
      <c r="W644" s="213"/>
      <c r="X644" s="213"/>
      <c r="Y644" s="213"/>
      <c r="Z644" s="213"/>
      <c r="AA644" s="213"/>
      <c r="AB644" s="213"/>
      <c r="AC644" s="213"/>
      <c r="AD644" s="213"/>
    </row>
    <row r="645" ht="15.75" customHeight="1">
      <c r="A645" s="257"/>
      <c r="B645" s="213"/>
      <c r="C645" s="213"/>
      <c r="D645" s="213"/>
      <c r="E645" s="213"/>
      <c r="F645" s="213"/>
      <c r="G645" s="213"/>
      <c r="H645" s="213"/>
      <c r="I645" s="213"/>
      <c r="J645" s="213"/>
      <c r="K645" s="213"/>
      <c r="L645" s="213"/>
      <c r="M645" s="213"/>
      <c r="N645" s="213"/>
      <c r="O645" s="213"/>
      <c r="P645" s="213"/>
      <c r="Q645" s="213"/>
      <c r="R645" s="213"/>
      <c r="S645" s="213"/>
      <c r="T645" s="213"/>
      <c r="U645" s="213"/>
      <c r="V645" s="213"/>
      <c r="W645" s="213"/>
      <c r="X645" s="213"/>
      <c r="Y645" s="213"/>
      <c r="Z645" s="213"/>
      <c r="AA645" s="213"/>
      <c r="AB645" s="213"/>
      <c r="AC645" s="213"/>
      <c r="AD645" s="213"/>
    </row>
    <row r="646" ht="15.75" customHeight="1">
      <c r="A646" s="257"/>
      <c r="B646" s="213"/>
      <c r="C646" s="213"/>
      <c r="D646" s="213"/>
      <c r="E646" s="213"/>
      <c r="F646" s="213"/>
      <c r="G646" s="213"/>
      <c r="H646" s="213"/>
      <c r="I646" s="213"/>
      <c r="J646" s="213"/>
      <c r="K646" s="213"/>
      <c r="L646" s="213"/>
      <c r="M646" s="213"/>
      <c r="N646" s="213"/>
      <c r="O646" s="213"/>
      <c r="P646" s="213"/>
      <c r="Q646" s="213"/>
      <c r="R646" s="213"/>
      <c r="S646" s="213"/>
      <c r="T646" s="213"/>
      <c r="U646" s="213"/>
      <c r="V646" s="213"/>
      <c r="W646" s="213"/>
      <c r="X646" s="213"/>
      <c r="Y646" s="213"/>
      <c r="Z646" s="213"/>
      <c r="AA646" s="213"/>
      <c r="AB646" s="213"/>
      <c r="AC646" s="213"/>
      <c r="AD646" s="213"/>
    </row>
    <row r="647" ht="15.75" customHeight="1">
      <c r="A647" s="257"/>
      <c r="B647" s="213"/>
      <c r="C647" s="213"/>
      <c r="D647" s="213"/>
      <c r="E647" s="213"/>
      <c r="F647" s="213"/>
      <c r="G647" s="213"/>
      <c r="H647" s="213"/>
      <c r="I647" s="213"/>
      <c r="J647" s="213"/>
      <c r="K647" s="213"/>
      <c r="L647" s="213"/>
      <c r="M647" s="213"/>
      <c r="N647" s="213"/>
      <c r="O647" s="213"/>
      <c r="P647" s="213"/>
      <c r="Q647" s="213"/>
      <c r="R647" s="213"/>
      <c r="S647" s="213"/>
      <c r="T647" s="213"/>
      <c r="U647" s="213"/>
      <c r="V647" s="213"/>
      <c r="W647" s="213"/>
      <c r="X647" s="213"/>
      <c r="Y647" s="213"/>
      <c r="Z647" s="213"/>
      <c r="AA647" s="213"/>
      <c r="AB647" s="213"/>
      <c r="AC647" s="213"/>
      <c r="AD647" s="213"/>
    </row>
    <row r="648" ht="15.75" customHeight="1">
      <c r="A648" s="257"/>
      <c r="B648" s="213"/>
      <c r="C648" s="213"/>
      <c r="D648" s="213"/>
      <c r="E648" s="213"/>
      <c r="F648" s="213"/>
      <c r="G648" s="213"/>
      <c r="H648" s="213"/>
      <c r="I648" s="213"/>
      <c r="J648" s="213"/>
      <c r="K648" s="213"/>
      <c r="L648" s="213"/>
      <c r="M648" s="213"/>
      <c r="N648" s="213"/>
      <c r="O648" s="213"/>
      <c r="P648" s="213"/>
      <c r="Q648" s="213"/>
      <c r="R648" s="213"/>
      <c r="S648" s="213"/>
      <c r="T648" s="213"/>
      <c r="U648" s="213"/>
      <c r="V648" s="213"/>
      <c r="W648" s="213"/>
      <c r="X648" s="213"/>
      <c r="Y648" s="213"/>
      <c r="Z648" s="213"/>
      <c r="AA648" s="213"/>
      <c r="AB648" s="213"/>
      <c r="AC648" s="213"/>
      <c r="AD648" s="213"/>
    </row>
    <row r="649" ht="15.75" customHeight="1">
      <c r="A649" s="257"/>
      <c r="B649" s="213"/>
      <c r="C649" s="213"/>
      <c r="D649" s="213"/>
      <c r="E649" s="213"/>
      <c r="F649" s="213"/>
      <c r="G649" s="213"/>
      <c r="H649" s="213"/>
      <c r="I649" s="213"/>
      <c r="J649" s="213"/>
      <c r="K649" s="213"/>
      <c r="L649" s="213"/>
      <c r="M649" s="213"/>
      <c r="N649" s="213"/>
      <c r="O649" s="213"/>
      <c r="P649" s="213"/>
      <c r="Q649" s="213"/>
      <c r="R649" s="213"/>
      <c r="S649" s="213"/>
      <c r="T649" s="213"/>
      <c r="U649" s="213"/>
      <c r="V649" s="213"/>
      <c r="W649" s="213"/>
      <c r="X649" s="213"/>
      <c r="Y649" s="213"/>
      <c r="Z649" s="213"/>
      <c r="AA649" s="213"/>
      <c r="AB649" s="213"/>
      <c r="AC649" s="213"/>
      <c r="AD649" s="213"/>
    </row>
    <row r="650" ht="15.75" customHeight="1">
      <c r="A650" s="257"/>
      <c r="B650" s="213"/>
      <c r="C650" s="213"/>
      <c r="D650" s="213"/>
      <c r="E650" s="213"/>
      <c r="F650" s="213"/>
      <c r="G650" s="213"/>
      <c r="H650" s="213"/>
      <c r="I650" s="213"/>
      <c r="J650" s="213"/>
      <c r="K650" s="213"/>
      <c r="L650" s="213"/>
      <c r="M650" s="213"/>
      <c r="N650" s="213"/>
      <c r="O650" s="213"/>
      <c r="P650" s="213"/>
      <c r="Q650" s="213"/>
      <c r="R650" s="213"/>
      <c r="S650" s="213"/>
      <c r="T650" s="213"/>
      <c r="U650" s="213"/>
      <c r="V650" s="213"/>
      <c r="W650" s="213"/>
      <c r="X650" s="213"/>
      <c r="Y650" s="213"/>
      <c r="Z650" s="213"/>
      <c r="AA650" s="213"/>
      <c r="AB650" s="213"/>
      <c r="AC650" s="213"/>
      <c r="AD650" s="213"/>
    </row>
    <row r="651" ht="15.75" customHeight="1">
      <c r="A651" s="257"/>
      <c r="B651" s="213"/>
      <c r="C651" s="213"/>
      <c r="D651" s="213"/>
      <c r="E651" s="213"/>
      <c r="F651" s="213"/>
      <c r="G651" s="213"/>
      <c r="H651" s="213"/>
      <c r="I651" s="213"/>
      <c r="J651" s="213"/>
      <c r="K651" s="213"/>
      <c r="L651" s="213"/>
      <c r="M651" s="213"/>
      <c r="N651" s="213"/>
      <c r="O651" s="213"/>
      <c r="P651" s="213"/>
      <c r="Q651" s="213"/>
      <c r="R651" s="213"/>
      <c r="S651" s="213"/>
      <c r="T651" s="213"/>
      <c r="U651" s="213"/>
      <c r="V651" s="213"/>
      <c r="W651" s="213"/>
      <c r="X651" s="213"/>
      <c r="Y651" s="213"/>
      <c r="Z651" s="213"/>
      <c r="AA651" s="213"/>
      <c r="AB651" s="213"/>
      <c r="AC651" s="213"/>
      <c r="AD651" s="213"/>
    </row>
    <row r="652" ht="15.75" customHeight="1">
      <c r="A652" s="257"/>
      <c r="B652" s="213"/>
      <c r="C652" s="213"/>
      <c r="D652" s="213"/>
      <c r="E652" s="213"/>
      <c r="F652" s="213"/>
      <c r="G652" s="213"/>
      <c r="H652" s="213"/>
      <c r="I652" s="213"/>
      <c r="J652" s="213"/>
      <c r="K652" s="213"/>
      <c r="L652" s="213"/>
      <c r="M652" s="213"/>
      <c r="N652" s="213"/>
      <c r="O652" s="213"/>
      <c r="P652" s="213"/>
      <c r="Q652" s="213"/>
      <c r="R652" s="213"/>
      <c r="S652" s="213"/>
      <c r="T652" s="213"/>
      <c r="U652" s="213"/>
      <c r="V652" s="213"/>
      <c r="W652" s="213"/>
      <c r="X652" s="213"/>
      <c r="Y652" s="213"/>
      <c r="Z652" s="213"/>
      <c r="AA652" s="213"/>
      <c r="AB652" s="213"/>
      <c r="AC652" s="213"/>
      <c r="AD652" s="213"/>
    </row>
    <row r="653" ht="15.75" customHeight="1">
      <c r="A653" s="257"/>
      <c r="B653" s="213"/>
      <c r="C653" s="213"/>
      <c r="D653" s="213"/>
      <c r="E653" s="213"/>
      <c r="F653" s="213"/>
      <c r="G653" s="213"/>
      <c r="H653" s="213"/>
      <c r="I653" s="213"/>
      <c r="J653" s="213"/>
      <c r="K653" s="213"/>
      <c r="L653" s="213"/>
      <c r="M653" s="213"/>
      <c r="N653" s="213"/>
      <c r="O653" s="213"/>
      <c r="P653" s="213"/>
      <c r="Q653" s="213"/>
      <c r="R653" s="213"/>
      <c r="S653" s="213"/>
      <c r="T653" s="213"/>
      <c r="U653" s="213"/>
      <c r="V653" s="213"/>
      <c r="W653" s="213"/>
      <c r="X653" s="213"/>
      <c r="Y653" s="213"/>
      <c r="Z653" s="213"/>
      <c r="AA653" s="213"/>
      <c r="AB653" s="213"/>
      <c r="AC653" s="213"/>
      <c r="AD653" s="213"/>
    </row>
    <row r="654" ht="15.75" customHeight="1">
      <c r="A654" s="257"/>
      <c r="B654" s="213"/>
      <c r="C654" s="213"/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  <c r="Q654" s="213"/>
      <c r="R654" s="213"/>
      <c r="S654" s="213"/>
      <c r="T654" s="213"/>
      <c r="U654" s="213"/>
      <c r="V654" s="213"/>
      <c r="W654" s="213"/>
      <c r="X654" s="213"/>
      <c r="Y654" s="213"/>
      <c r="Z654" s="213"/>
      <c r="AA654" s="213"/>
      <c r="AB654" s="213"/>
      <c r="AC654" s="213"/>
      <c r="AD654" s="213"/>
    </row>
    <row r="655" ht="15.75" customHeight="1">
      <c r="A655" s="257"/>
      <c r="B655" s="213"/>
      <c r="C655" s="213"/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  <c r="Q655" s="213"/>
      <c r="R655" s="213"/>
      <c r="S655" s="213"/>
      <c r="T655" s="213"/>
      <c r="U655" s="213"/>
      <c r="V655" s="213"/>
      <c r="W655" s="213"/>
      <c r="X655" s="213"/>
      <c r="Y655" s="213"/>
      <c r="Z655" s="213"/>
      <c r="AA655" s="213"/>
      <c r="AB655" s="213"/>
      <c r="AC655" s="213"/>
      <c r="AD655" s="213"/>
    </row>
    <row r="656" ht="15.75" customHeight="1">
      <c r="A656" s="257"/>
      <c r="B656" s="213"/>
      <c r="C656" s="213"/>
      <c r="D656" s="213"/>
      <c r="E656" s="213"/>
      <c r="F656" s="213"/>
      <c r="G656" s="213"/>
      <c r="H656" s="213"/>
      <c r="I656" s="213"/>
      <c r="J656" s="213"/>
      <c r="K656" s="213"/>
      <c r="L656" s="213"/>
      <c r="M656" s="213"/>
      <c r="N656" s="213"/>
      <c r="O656" s="213"/>
      <c r="P656" s="213"/>
      <c r="Q656" s="213"/>
      <c r="R656" s="213"/>
      <c r="S656" s="213"/>
      <c r="T656" s="213"/>
      <c r="U656" s="213"/>
      <c r="V656" s="213"/>
      <c r="W656" s="213"/>
      <c r="X656" s="213"/>
      <c r="Y656" s="213"/>
      <c r="Z656" s="213"/>
      <c r="AA656" s="213"/>
      <c r="AB656" s="213"/>
      <c r="AC656" s="213"/>
      <c r="AD656" s="213"/>
    </row>
    <row r="657" ht="15.75" customHeight="1">
      <c r="A657" s="257"/>
      <c r="B657" s="213"/>
      <c r="C657" s="213"/>
      <c r="D657" s="213"/>
      <c r="E657" s="213"/>
      <c r="F657" s="213"/>
      <c r="G657" s="213"/>
      <c r="H657" s="213"/>
      <c r="I657" s="213"/>
      <c r="J657" s="213"/>
      <c r="K657" s="213"/>
      <c r="L657" s="213"/>
      <c r="M657" s="213"/>
      <c r="N657" s="213"/>
      <c r="O657" s="213"/>
      <c r="P657" s="213"/>
      <c r="Q657" s="213"/>
      <c r="R657" s="213"/>
      <c r="S657" s="213"/>
      <c r="T657" s="213"/>
      <c r="U657" s="213"/>
      <c r="V657" s="213"/>
      <c r="W657" s="213"/>
      <c r="X657" s="213"/>
      <c r="Y657" s="213"/>
      <c r="Z657" s="213"/>
      <c r="AA657" s="213"/>
      <c r="AB657" s="213"/>
      <c r="AC657" s="213"/>
      <c r="AD657" s="213"/>
    </row>
    <row r="658" ht="15.75" customHeight="1">
      <c r="A658" s="257"/>
      <c r="B658" s="213"/>
      <c r="C658" s="213"/>
      <c r="D658" s="213"/>
      <c r="E658" s="213"/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  <c r="AA658" s="213"/>
      <c r="AB658" s="213"/>
      <c r="AC658" s="213"/>
      <c r="AD658" s="213"/>
    </row>
    <row r="659" ht="15.75" customHeight="1">
      <c r="A659" s="257"/>
      <c r="B659" s="213"/>
      <c r="C659" s="213"/>
      <c r="D659" s="213"/>
      <c r="E659" s="213"/>
      <c r="F659" s="213"/>
      <c r="G659" s="213"/>
      <c r="H659" s="213"/>
      <c r="I659" s="213"/>
      <c r="J659" s="213"/>
      <c r="K659" s="213"/>
      <c r="L659" s="213"/>
      <c r="M659" s="213"/>
      <c r="N659" s="213"/>
      <c r="O659" s="213"/>
      <c r="P659" s="213"/>
      <c r="Q659" s="213"/>
      <c r="R659" s="213"/>
      <c r="S659" s="213"/>
      <c r="T659" s="213"/>
      <c r="U659" s="213"/>
      <c r="V659" s="213"/>
      <c r="W659" s="213"/>
      <c r="X659" s="213"/>
      <c r="Y659" s="213"/>
      <c r="Z659" s="213"/>
      <c r="AA659" s="213"/>
      <c r="AB659" s="213"/>
      <c r="AC659" s="213"/>
      <c r="AD659" s="213"/>
    </row>
    <row r="660" ht="15.75" customHeight="1">
      <c r="A660" s="257"/>
      <c r="B660" s="213"/>
      <c r="C660" s="213"/>
      <c r="D660" s="213"/>
      <c r="E660" s="213"/>
      <c r="F660" s="213"/>
      <c r="G660" s="213"/>
      <c r="H660" s="213"/>
      <c r="I660" s="213"/>
      <c r="J660" s="213"/>
      <c r="K660" s="213"/>
      <c r="L660" s="213"/>
      <c r="M660" s="213"/>
      <c r="N660" s="213"/>
      <c r="O660" s="213"/>
      <c r="P660" s="213"/>
      <c r="Q660" s="213"/>
      <c r="R660" s="213"/>
      <c r="S660" s="213"/>
      <c r="T660" s="213"/>
      <c r="U660" s="213"/>
      <c r="V660" s="213"/>
      <c r="W660" s="213"/>
      <c r="X660" s="213"/>
      <c r="Y660" s="213"/>
      <c r="Z660" s="213"/>
      <c r="AA660" s="213"/>
      <c r="AB660" s="213"/>
      <c r="AC660" s="213"/>
      <c r="AD660" s="213"/>
    </row>
    <row r="661" ht="15.75" customHeight="1">
      <c r="A661" s="257"/>
      <c r="B661" s="213"/>
      <c r="C661" s="213"/>
      <c r="D661" s="213"/>
      <c r="E661" s="213"/>
      <c r="F661" s="213"/>
      <c r="G661" s="213"/>
      <c r="H661" s="213"/>
      <c r="I661" s="213"/>
      <c r="J661" s="213"/>
      <c r="K661" s="213"/>
      <c r="L661" s="213"/>
      <c r="M661" s="213"/>
      <c r="N661" s="213"/>
      <c r="O661" s="213"/>
      <c r="P661" s="213"/>
      <c r="Q661" s="213"/>
      <c r="R661" s="213"/>
      <c r="S661" s="213"/>
      <c r="T661" s="213"/>
      <c r="U661" s="213"/>
      <c r="V661" s="213"/>
      <c r="W661" s="213"/>
      <c r="X661" s="213"/>
      <c r="Y661" s="213"/>
      <c r="Z661" s="213"/>
      <c r="AA661" s="213"/>
      <c r="AB661" s="213"/>
      <c r="AC661" s="213"/>
      <c r="AD661" s="213"/>
    </row>
    <row r="662" ht="15.75" customHeight="1">
      <c r="A662" s="257"/>
      <c r="B662" s="213"/>
      <c r="C662" s="213"/>
      <c r="D662" s="213"/>
      <c r="E662" s="213"/>
      <c r="F662" s="213"/>
      <c r="G662" s="213"/>
      <c r="H662" s="213"/>
      <c r="I662" s="213"/>
      <c r="J662" s="213"/>
      <c r="K662" s="213"/>
      <c r="L662" s="213"/>
      <c r="M662" s="213"/>
      <c r="N662" s="213"/>
      <c r="O662" s="213"/>
      <c r="P662" s="213"/>
      <c r="Q662" s="213"/>
      <c r="R662" s="213"/>
      <c r="S662" s="213"/>
      <c r="T662" s="213"/>
      <c r="U662" s="213"/>
      <c r="V662" s="213"/>
      <c r="W662" s="213"/>
      <c r="X662" s="213"/>
      <c r="Y662" s="213"/>
      <c r="Z662" s="213"/>
      <c r="AA662" s="213"/>
      <c r="AB662" s="213"/>
      <c r="AC662" s="213"/>
      <c r="AD662" s="213"/>
    </row>
    <row r="663" ht="15.75" customHeight="1">
      <c r="A663" s="257"/>
      <c r="B663" s="213"/>
      <c r="C663" s="213"/>
      <c r="D663" s="213"/>
      <c r="E663" s="213"/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  <c r="Q663" s="213"/>
      <c r="R663" s="213"/>
      <c r="S663" s="213"/>
      <c r="T663" s="213"/>
      <c r="U663" s="213"/>
      <c r="V663" s="213"/>
      <c r="W663" s="213"/>
      <c r="X663" s="213"/>
      <c r="Y663" s="213"/>
      <c r="Z663" s="213"/>
      <c r="AA663" s="213"/>
      <c r="AB663" s="213"/>
      <c r="AC663" s="213"/>
      <c r="AD663" s="213"/>
    </row>
    <row r="664" ht="15.75" customHeight="1">
      <c r="A664" s="257"/>
      <c r="B664" s="213"/>
      <c r="C664" s="213"/>
      <c r="D664" s="213"/>
      <c r="E664" s="213"/>
      <c r="F664" s="213"/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  <c r="Q664" s="213"/>
      <c r="R664" s="213"/>
      <c r="S664" s="213"/>
      <c r="T664" s="213"/>
      <c r="U664" s="213"/>
      <c r="V664" s="213"/>
      <c r="W664" s="213"/>
      <c r="X664" s="213"/>
      <c r="Y664" s="213"/>
      <c r="Z664" s="213"/>
      <c r="AA664" s="213"/>
      <c r="AB664" s="213"/>
      <c r="AC664" s="213"/>
      <c r="AD664" s="213"/>
    </row>
    <row r="665" ht="15.75" customHeight="1">
      <c r="A665" s="257"/>
      <c r="B665" s="213"/>
      <c r="C665" s="213"/>
      <c r="D665" s="213"/>
      <c r="E665" s="213"/>
      <c r="F665" s="213"/>
      <c r="G665" s="213"/>
      <c r="H665" s="213"/>
      <c r="I665" s="213"/>
      <c r="J665" s="213"/>
      <c r="K665" s="213"/>
      <c r="L665" s="213"/>
      <c r="M665" s="213"/>
      <c r="N665" s="213"/>
      <c r="O665" s="213"/>
      <c r="P665" s="213"/>
      <c r="Q665" s="213"/>
      <c r="R665" s="213"/>
      <c r="S665" s="213"/>
      <c r="T665" s="213"/>
      <c r="U665" s="213"/>
      <c r="V665" s="213"/>
      <c r="W665" s="213"/>
      <c r="X665" s="213"/>
      <c r="Y665" s="213"/>
      <c r="Z665" s="213"/>
      <c r="AA665" s="213"/>
      <c r="AB665" s="213"/>
      <c r="AC665" s="213"/>
      <c r="AD665" s="213"/>
    </row>
    <row r="666" ht="15.75" customHeight="1">
      <c r="A666" s="257"/>
      <c r="B666" s="213"/>
      <c r="C666" s="213"/>
      <c r="D666" s="213"/>
      <c r="E666" s="213"/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  <c r="Q666" s="213"/>
      <c r="R666" s="213"/>
      <c r="S666" s="213"/>
      <c r="T666" s="213"/>
      <c r="U666" s="213"/>
      <c r="V666" s="213"/>
      <c r="W666" s="213"/>
      <c r="X666" s="213"/>
      <c r="Y666" s="213"/>
      <c r="Z666" s="213"/>
      <c r="AA666" s="213"/>
      <c r="AB666" s="213"/>
      <c r="AC666" s="213"/>
      <c r="AD666" s="213"/>
    </row>
    <row r="667" ht="15.75" customHeight="1">
      <c r="A667" s="257"/>
      <c r="B667" s="213"/>
      <c r="C667" s="213"/>
      <c r="D667" s="213"/>
      <c r="E667" s="213"/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  <c r="Q667" s="213"/>
      <c r="R667" s="213"/>
      <c r="S667" s="213"/>
      <c r="T667" s="213"/>
      <c r="U667" s="213"/>
      <c r="V667" s="213"/>
      <c r="W667" s="213"/>
      <c r="X667" s="213"/>
      <c r="Y667" s="213"/>
      <c r="Z667" s="213"/>
      <c r="AA667" s="213"/>
      <c r="AB667" s="213"/>
      <c r="AC667" s="213"/>
      <c r="AD667" s="213"/>
    </row>
    <row r="668" ht="15.75" customHeight="1">
      <c r="A668" s="257"/>
      <c r="B668" s="213"/>
      <c r="C668" s="213"/>
      <c r="D668" s="213"/>
      <c r="E668" s="213"/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  <c r="Q668" s="213"/>
      <c r="R668" s="213"/>
      <c r="S668" s="213"/>
      <c r="T668" s="213"/>
      <c r="U668" s="213"/>
      <c r="V668" s="213"/>
      <c r="W668" s="213"/>
      <c r="X668" s="213"/>
      <c r="Y668" s="213"/>
      <c r="Z668" s="213"/>
      <c r="AA668" s="213"/>
      <c r="AB668" s="213"/>
      <c r="AC668" s="213"/>
      <c r="AD668" s="213"/>
    </row>
    <row r="669" ht="15.75" customHeight="1">
      <c r="A669" s="257"/>
      <c r="B669" s="213"/>
      <c r="C669" s="213"/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  <c r="Q669" s="213"/>
      <c r="R669" s="213"/>
      <c r="S669" s="213"/>
      <c r="T669" s="213"/>
      <c r="U669" s="213"/>
      <c r="V669" s="213"/>
      <c r="W669" s="213"/>
      <c r="X669" s="213"/>
      <c r="Y669" s="213"/>
      <c r="Z669" s="213"/>
      <c r="AA669" s="213"/>
      <c r="AB669" s="213"/>
      <c r="AC669" s="213"/>
      <c r="AD669" s="213"/>
    </row>
    <row r="670" ht="15.75" customHeight="1">
      <c r="A670" s="257"/>
      <c r="B670" s="213"/>
      <c r="C670" s="213"/>
      <c r="D670" s="213"/>
      <c r="E670" s="213"/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  <c r="Q670" s="213"/>
      <c r="R670" s="213"/>
      <c r="S670" s="213"/>
      <c r="T670" s="213"/>
      <c r="U670" s="213"/>
      <c r="V670" s="213"/>
      <c r="W670" s="213"/>
      <c r="X670" s="213"/>
      <c r="Y670" s="213"/>
      <c r="Z670" s="213"/>
      <c r="AA670" s="213"/>
      <c r="AB670" s="213"/>
      <c r="AC670" s="213"/>
      <c r="AD670" s="213"/>
    </row>
    <row r="671" ht="15.75" customHeight="1">
      <c r="A671" s="257"/>
      <c r="B671" s="213"/>
      <c r="C671" s="213"/>
      <c r="D671" s="213"/>
      <c r="E671" s="213"/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  <c r="Q671" s="213"/>
      <c r="R671" s="213"/>
      <c r="S671" s="213"/>
      <c r="T671" s="213"/>
      <c r="U671" s="213"/>
      <c r="V671" s="213"/>
      <c r="W671" s="213"/>
      <c r="X671" s="213"/>
      <c r="Y671" s="213"/>
      <c r="Z671" s="213"/>
      <c r="AA671" s="213"/>
      <c r="AB671" s="213"/>
      <c r="AC671" s="213"/>
      <c r="AD671" s="213"/>
    </row>
    <row r="672" ht="15.75" customHeight="1">
      <c r="A672" s="257"/>
      <c r="B672" s="213"/>
      <c r="C672" s="213"/>
      <c r="D672" s="213"/>
      <c r="E672" s="213"/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  <c r="Q672" s="213"/>
      <c r="R672" s="213"/>
      <c r="S672" s="213"/>
      <c r="T672" s="213"/>
      <c r="U672" s="213"/>
      <c r="V672" s="213"/>
      <c r="W672" s="213"/>
      <c r="X672" s="213"/>
      <c r="Y672" s="213"/>
      <c r="Z672" s="213"/>
      <c r="AA672" s="213"/>
      <c r="AB672" s="213"/>
      <c r="AC672" s="213"/>
      <c r="AD672" s="213"/>
    </row>
    <row r="673" ht="15.75" customHeight="1">
      <c r="A673" s="257"/>
      <c r="B673" s="213"/>
      <c r="C673" s="213"/>
      <c r="D673" s="213"/>
      <c r="E673" s="213"/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  <c r="Q673" s="213"/>
      <c r="R673" s="213"/>
      <c r="S673" s="213"/>
      <c r="T673" s="213"/>
      <c r="U673" s="213"/>
      <c r="V673" s="213"/>
      <c r="W673" s="213"/>
      <c r="X673" s="213"/>
      <c r="Y673" s="213"/>
      <c r="Z673" s="213"/>
      <c r="AA673" s="213"/>
      <c r="AB673" s="213"/>
      <c r="AC673" s="213"/>
      <c r="AD673" s="213"/>
    </row>
    <row r="674" ht="15.75" customHeight="1">
      <c r="A674" s="257"/>
      <c r="B674" s="213"/>
      <c r="C674" s="213"/>
      <c r="D674" s="213"/>
      <c r="E674" s="213"/>
      <c r="F674" s="213"/>
      <c r="G674" s="213"/>
      <c r="H674" s="213"/>
      <c r="I674" s="213"/>
      <c r="J674" s="213"/>
      <c r="K674" s="213"/>
      <c r="L674" s="213"/>
      <c r="M674" s="213"/>
      <c r="N674" s="213"/>
      <c r="O674" s="213"/>
      <c r="P674" s="213"/>
      <c r="Q674" s="213"/>
      <c r="R674" s="213"/>
      <c r="S674" s="213"/>
      <c r="T674" s="213"/>
      <c r="U674" s="213"/>
      <c r="V674" s="213"/>
      <c r="W674" s="213"/>
      <c r="X674" s="213"/>
      <c r="Y674" s="213"/>
      <c r="Z674" s="213"/>
      <c r="AA674" s="213"/>
      <c r="AB674" s="213"/>
      <c r="AC674" s="213"/>
      <c r="AD674" s="213"/>
    </row>
    <row r="675" ht="15.75" customHeight="1">
      <c r="A675" s="257"/>
      <c r="B675" s="213"/>
      <c r="C675" s="213"/>
      <c r="D675" s="213"/>
      <c r="E675" s="213"/>
      <c r="F675" s="213"/>
      <c r="G675" s="213"/>
      <c r="H675" s="213"/>
      <c r="I675" s="213"/>
      <c r="J675" s="213"/>
      <c r="K675" s="213"/>
      <c r="L675" s="213"/>
      <c r="M675" s="213"/>
      <c r="N675" s="213"/>
      <c r="O675" s="213"/>
      <c r="P675" s="213"/>
      <c r="Q675" s="213"/>
      <c r="R675" s="213"/>
      <c r="S675" s="213"/>
      <c r="T675" s="213"/>
      <c r="U675" s="213"/>
      <c r="V675" s="213"/>
      <c r="W675" s="213"/>
      <c r="X675" s="213"/>
      <c r="Y675" s="213"/>
      <c r="Z675" s="213"/>
      <c r="AA675" s="213"/>
      <c r="AB675" s="213"/>
      <c r="AC675" s="213"/>
      <c r="AD675" s="213"/>
    </row>
    <row r="676" ht="15.75" customHeight="1">
      <c r="A676" s="257"/>
      <c r="B676" s="213"/>
      <c r="C676" s="213"/>
      <c r="D676" s="213"/>
      <c r="E676" s="213"/>
      <c r="F676" s="213"/>
      <c r="G676" s="213"/>
      <c r="H676" s="213"/>
      <c r="I676" s="213"/>
      <c r="J676" s="213"/>
      <c r="K676" s="213"/>
      <c r="L676" s="213"/>
      <c r="M676" s="213"/>
      <c r="N676" s="213"/>
      <c r="O676" s="213"/>
      <c r="P676" s="213"/>
      <c r="Q676" s="213"/>
      <c r="R676" s="213"/>
      <c r="S676" s="213"/>
      <c r="T676" s="213"/>
      <c r="U676" s="213"/>
      <c r="V676" s="213"/>
      <c r="W676" s="213"/>
      <c r="X676" s="213"/>
      <c r="Y676" s="213"/>
      <c r="Z676" s="213"/>
      <c r="AA676" s="213"/>
      <c r="AB676" s="213"/>
      <c r="AC676" s="213"/>
      <c r="AD676" s="213"/>
    </row>
    <row r="677" ht="15.75" customHeight="1">
      <c r="A677" s="257"/>
      <c r="B677" s="213"/>
      <c r="C677" s="213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  <c r="AA677" s="213"/>
      <c r="AB677" s="213"/>
      <c r="AC677" s="213"/>
      <c r="AD677" s="213"/>
    </row>
    <row r="678" ht="15.75" customHeight="1">
      <c r="A678" s="257"/>
      <c r="B678" s="213"/>
      <c r="C678" s="213"/>
      <c r="D678" s="213"/>
      <c r="E678" s="213"/>
      <c r="F678" s="213"/>
      <c r="G678" s="213"/>
      <c r="H678" s="213"/>
      <c r="I678" s="213"/>
      <c r="J678" s="213"/>
      <c r="K678" s="213"/>
      <c r="L678" s="213"/>
      <c r="M678" s="213"/>
      <c r="N678" s="213"/>
      <c r="O678" s="213"/>
      <c r="P678" s="213"/>
      <c r="Q678" s="213"/>
      <c r="R678" s="213"/>
      <c r="S678" s="213"/>
      <c r="T678" s="213"/>
      <c r="U678" s="213"/>
      <c r="V678" s="213"/>
      <c r="W678" s="213"/>
      <c r="X678" s="213"/>
      <c r="Y678" s="213"/>
      <c r="Z678" s="213"/>
      <c r="AA678" s="213"/>
      <c r="AB678" s="213"/>
      <c r="AC678" s="213"/>
      <c r="AD678" s="213"/>
    </row>
    <row r="679" ht="15.75" customHeight="1">
      <c r="A679" s="257"/>
      <c r="B679" s="213"/>
      <c r="C679" s="213"/>
      <c r="D679" s="213"/>
      <c r="E679" s="213"/>
      <c r="F679" s="213"/>
      <c r="G679" s="213"/>
      <c r="H679" s="213"/>
      <c r="I679" s="213"/>
      <c r="J679" s="213"/>
      <c r="K679" s="213"/>
      <c r="L679" s="213"/>
      <c r="M679" s="213"/>
      <c r="N679" s="213"/>
      <c r="O679" s="213"/>
      <c r="P679" s="213"/>
      <c r="Q679" s="213"/>
      <c r="R679" s="213"/>
      <c r="S679" s="213"/>
      <c r="T679" s="213"/>
      <c r="U679" s="213"/>
      <c r="V679" s="213"/>
      <c r="W679" s="213"/>
      <c r="X679" s="213"/>
      <c r="Y679" s="213"/>
      <c r="Z679" s="213"/>
      <c r="AA679" s="213"/>
      <c r="AB679" s="213"/>
      <c r="AC679" s="213"/>
      <c r="AD679" s="213"/>
    </row>
    <row r="680" ht="15.75" customHeight="1">
      <c r="A680" s="257"/>
      <c r="B680" s="213"/>
      <c r="C680" s="213"/>
      <c r="D680" s="213"/>
      <c r="E680" s="213"/>
      <c r="F680" s="213"/>
      <c r="G680" s="213"/>
      <c r="H680" s="213"/>
      <c r="I680" s="213"/>
      <c r="J680" s="213"/>
      <c r="K680" s="213"/>
      <c r="L680" s="213"/>
      <c r="M680" s="213"/>
      <c r="N680" s="213"/>
      <c r="O680" s="213"/>
      <c r="P680" s="213"/>
      <c r="Q680" s="213"/>
      <c r="R680" s="213"/>
      <c r="S680" s="213"/>
      <c r="T680" s="213"/>
      <c r="U680" s="213"/>
      <c r="V680" s="213"/>
      <c r="W680" s="213"/>
      <c r="X680" s="213"/>
      <c r="Y680" s="213"/>
      <c r="Z680" s="213"/>
      <c r="AA680" s="213"/>
      <c r="AB680" s="213"/>
      <c r="AC680" s="213"/>
      <c r="AD680" s="213"/>
    </row>
    <row r="681" ht="15.75" customHeight="1">
      <c r="A681" s="257"/>
      <c r="B681" s="213"/>
      <c r="C681" s="213"/>
      <c r="D681" s="213"/>
      <c r="E681" s="213"/>
      <c r="F681" s="213"/>
      <c r="G681" s="213"/>
      <c r="H681" s="213"/>
      <c r="I681" s="213"/>
      <c r="J681" s="213"/>
      <c r="K681" s="213"/>
      <c r="L681" s="213"/>
      <c r="M681" s="213"/>
      <c r="N681" s="213"/>
      <c r="O681" s="213"/>
      <c r="P681" s="213"/>
      <c r="Q681" s="213"/>
      <c r="R681" s="213"/>
      <c r="S681" s="213"/>
      <c r="T681" s="213"/>
      <c r="U681" s="213"/>
      <c r="V681" s="213"/>
      <c r="W681" s="213"/>
      <c r="X681" s="213"/>
      <c r="Y681" s="213"/>
      <c r="Z681" s="213"/>
      <c r="AA681" s="213"/>
      <c r="AB681" s="213"/>
      <c r="AC681" s="213"/>
      <c r="AD681" s="213"/>
    </row>
    <row r="682" ht="15.75" customHeight="1">
      <c r="A682" s="257"/>
      <c r="B682" s="213"/>
      <c r="C682" s="213"/>
      <c r="D682" s="213"/>
      <c r="E682" s="213"/>
      <c r="F682" s="213"/>
      <c r="G682" s="213"/>
      <c r="H682" s="213"/>
      <c r="I682" s="213"/>
      <c r="J682" s="213"/>
      <c r="K682" s="213"/>
      <c r="L682" s="213"/>
      <c r="M682" s="213"/>
      <c r="N682" s="213"/>
      <c r="O682" s="213"/>
      <c r="P682" s="213"/>
      <c r="Q682" s="213"/>
      <c r="R682" s="213"/>
      <c r="S682" s="213"/>
      <c r="T682" s="213"/>
      <c r="U682" s="213"/>
      <c r="V682" s="213"/>
      <c r="W682" s="213"/>
      <c r="X682" s="213"/>
      <c r="Y682" s="213"/>
      <c r="Z682" s="213"/>
      <c r="AA682" s="213"/>
      <c r="AB682" s="213"/>
      <c r="AC682" s="213"/>
      <c r="AD682" s="213"/>
    </row>
    <row r="683" ht="15.75" customHeight="1">
      <c r="A683" s="257"/>
      <c r="B683" s="213"/>
      <c r="C683" s="213"/>
      <c r="D683" s="213"/>
      <c r="E683" s="213"/>
      <c r="F683" s="213"/>
      <c r="G683" s="213"/>
      <c r="H683" s="213"/>
      <c r="I683" s="213"/>
      <c r="J683" s="213"/>
      <c r="K683" s="213"/>
      <c r="L683" s="213"/>
      <c r="M683" s="213"/>
      <c r="N683" s="213"/>
      <c r="O683" s="213"/>
      <c r="P683" s="213"/>
      <c r="Q683" s="213"/>
      <c r="R683" s="213"/>
      <c r="S683" s="213"/>
      <c r="T683" s="213"/>
      <c r="U683" s="213"/>
      <c r="V683" s="213"/>
      <c r="W683" s="213"/>
      <c r="X683" s="213"/>
      <c r="Y683" s="213"/>
      <c r="Z683" s="213"/>
      <c r="AA683" s="213"/>
      <c r="AB683" s="213"/>
      <c r="AC683" s="213"/>
      <c r="AD683" s="213"/>
    </row>
    <row r="684" ht="15.75" customHeight="1">
      <c r="A684" s="257"/>
      <c r="B684" s="213"/>
      <c r="C684" s="213"/>
      <c r="D684" s="213"/>
      <c r="E684" s="213"/>
      <c r="F684" s="213"/>
      <c r="G684" s="213"/>
      <c r="H684" s="213"/>
      <c r="I684" s="213"/>
      <c r="J684" s="213"/>
      <c r="K684" s="213"/>
      <c r="L684" s="213"/>
      <c r="M684" s="213"/>
      <c r="N684" s="213"/>
      <c r="O684" s="213"/>
      <c r="P684" s="213"/>
      <c r="Q684" s="213"/>
      <c r="R684" s="213"/>
      <c r="S684" s="213"/>
      <c r="T684" s="213"/>
      <c r="U684" s="213"/>
      <c r="V684" s="213"/>
      <c r="W684" s="213"/>
      <c r="X684" s="213"/>
      <c r="Y684" s="213"/>
      <c r="Z684" s="213"/>
      <c r="AA684" s="213"/>
      <c r="AB684" s="213"/>
      <c r="AC684" s="213"/>
      <c r="AD684" s="213"/>
    </row>
    <row r="685" ht="15.75" customHeight="1">
      <c r="A685" s="257"/>
      <c r="B685" s="213"/>
      <c r="C685" s="213"/>
      <c r="D685" s="213"/>
      <c r="E685" s="213"/>
      <c r="F685" s="213"/>
      <c r="G685" s="213"/>
      <c r="H685" s="213"/>
      <c r="I685" s="213"/>
      <c r="J685" s="213"/>
      <c r="K685" s="213"/>
      <c r="L685" s="213"/>
      <c r="M685" s="213"/>
      <c r="N685" s="213"/>
      <c r="O685" s="213"/>
      <c r="P685" s="213"/>
      <c r="Q685" s="213"/>
      <c r="R685" s="213"/>
      <c r="S685" s="213"/>
      <c r="T685" s="213"/>
      <c r="U685" s="213"/>
      <c r="V685" s="213"/>
      <c r="W685" s="213"/>
      <c r="X685" s="213"/>
      <c r="Y685" s="213"/>
      <c r="Z685" s="213"/>
      <c r="AA685" s="213"/>
      <c r="AB685" s="213"/>
      <c r="AC685" s="213"/>
      <c r="AD685" s="213"/>
    </row>
    <row r="686" ht="15.75" customHeight="1">
      <c r="A686" s="257"/>
      <c r="B686" s="213"/>
      <c r="C686" s="213"/>
      <c r="D686" s="213"/>
      <c r="E686" s="213"/>
      <c r="F686" s="213"/>
      <c r="G686" s="213"/>
      <c r="H686" s="213"/>
      <c r="I686" s="213"/>
      <c r="J686" s="213"/>
      <c r="K686" s="213"/>
      <c r="L686" s="213"/>
      <c r="M686" s="213"/>
      <c r="N686" s="213"/>
      <c r="O686" s="213"/>
      <c r="P686" s="213"/>
      <c r="Q686" s="213"/>
      <c r="R686" s="213"/>
      <c r="S686" s="213"/>
      <c r="T686" s="213"/>
      <c r="U686" s="213"/>
      <c r="V686" s="213"/>
      <c r="W686" s="213"/>
      <c r="X686" s="213"/>
      <c r="Y686" s="213"/>
      <c r="Z686" s="213"/>
      <c r="AA686" s="213"/>
      <c r="AB686" s="213"/>
      <c r="AC686" s="213"/>
      <c r="AD686" s="213"/>
    </row>
    <row r="687" ht="15.75" customHeight="1">
      <c r="A687" s="257"/>
      <c r="B687" s="213"/>
      <c r="C687" s="213"/>
      <c r="D687" s="213"/>
      <c r="E687" s="213"/>
      <c r="F687" s="213"/>
      <c r="G687" s="213"/>
      <c r="H687" s="213"/>
      <c r="I687" s="213"/>
      <c r="J687" s="213"/>
      <c r="K687" s="213"/>
      <c r="L687" s="213"/>
      <c r="M687" s="213"/>
      <c r="N687" s="213"/>
      <c r="O687" s="213"/>
      <c r="P687" s="213"/>
      <c r="Q687" s="213"/>
      <c r="R687" s="213"/>
      <c r="S687" s="213"/>
      <c r="T687" s="213"/>
      <c r="U687" s="213"/>
      <c r="V687" s="213"/>
      <c r="W687" s="213"/>
      <c r="X687" s="213"/>
      <c r="Y687" s="213"/>
      <c r="Z687" s="213"/>
      <c r="AA687" s="213"/>
      <c r="AB687" s="213"/>
      <c r="AC687" s="213"/>
      <c r="AD687" s="213"/>
    </row>
    <row r="688" ht="15.75" customHeight="1">
      <c r="A688" s="257"/>
      <c r="B688" s="213"/>
      <c r="C688" s="213"/>
      <c r="D688" s="213"/>
      <c r="E688" s="213"/>
      <c r="F688" s="213"/>
      <c r="G688" s="213"/>
      <c r="H688" s="213"/>
      <c r="I688" s="213"/>
      <c r="J688" s="213"/>
      <c r="K688" s="213"/>
      <c r="L688" s="213"/>
      <c r="M688" s="213"/>
      <c r="N688" s="213"/>
      <c r="O688" s="213"/>
      <c r="P688" s="213"/>
      <c r="Q688" s="213"/>
      <c r="R688" s="213"/>
      <c r="S688" s="213"/>
      <c r="T688" s="213"/>
      <c r="U688" s="213"/>
      <c r="V688" s="213"/>
      <c r="W688" s="213"/>
      <c r="X688" s="213"/>
      <c r="Y688" s="213"/>
      <c r="Z688" s="213"/>
      <c r="AA688" s="213"/>
      <c r="AB688" s="213"/>
      <c r="AC688" s="213"/>
      <c r="AD688" s="213"/>
    </row>
    <row r="689" ht="15.75" customHeight="1">
      <c r="A689" s="257"/>
      <c r="B689" s="213"/>
      <c r="C689" s="213"/>
      <c r="D689" s="213"/>
      <c r="E689" s="213"/>
      <c r="F689" s="213"/>
      <c r="G689" s="213"/>
      <c r="H689" s="213"/>
      <c r="I689" s="213"/>
      <c r="J689" s="213"/>
      <c r="K689" s="213"/>
      <c r="L689" s="213"/>
      <c r="M689" s="213"/>
      <c r="N689" s="213"/>
      <c r="O689" s="213"/>
      <c r="P689" s="213"/>
      <c r="Q689" s="213"/>
      <c r="R689" s="213"/>
      <c r="S689" s="213"/>
      <c r="T689" s="213"/>
      <c r="U689" s="213"/>
      <c r="V689" s="213"/>
      <c r="W689" s="213"/>
      <c r="X689" s="213"/>
      <c r="Y689" s="213"/>
      <c r="Z689" s="213"/>
      <c r="AA689" s="213"/>
      <c r="AB689" s="213"/>
      <c r="AC689" s="213"/>
      <c r="AD689" s="213"/>
    </row>
    <row r="690" ht="15.75" customHeight="1">
      <c r="A690" s="257"/>
      <c r="B690" s="213"/>
      <c r="C690" s="213"/>
      <c r="D690" s="213"/>
      <c r="E690" s="213"/>
      <c r="F690" s="213"/>
      <c r="G690" s="213"/>
      <c r="H690" s="213"/>
      <c r="I690" s="213"/>
      <c r="J690" s="213"/>
      <c r="K690" s="213"/>
      <c r="L690" s="213"/>
      <c r="M690" s="213"/>
      <c r="N690" s="213"/>
      <c r="O690" s="213"/>
      <c r="P690" s="213"/>
      <c r="Q690" s="213"/>
      <c r="R690" s="213"/>
      <c r="S690" s="213"/>
      <c r="T690" s="213"/>
      <c r="U690" s="213"/>
      <c r="V690" s="213"/>
      <c r="W690" s="213"/>
      <c r="X690" s="213"/>
      <c r="Y690" s="213"/>
      <c r="Z690" s="213"/>
      <c r="AA690" s="213"/>
      <c r="AB690" s="213"/>
      <c r="AC690" s="213"/>
      <c r="AD690" s="213"/>
    </row>
    <row r="691" ht="15.75" customHeight="1">
      <c r="A691" s="257"/>
      <c r="B691" s="213"/>
      <c r="C691" s="213"/>
      <c r="D691" s="213"/>
      <c r="E691" s="213"/>
      <c r="F691" s="213"/>
      <c r="G691" s="213"/>
      <c r="H691" s="213"/>
      <c r="I691" s="213"/>
      <c r="J691" s="213"/>
      <c r="K691" s="213"/>
      <c r="L691" s="213"/>
      <c r="M691" s="213"/>
      <c r="N691" s="213"/>
      <c r="O691" s="213"/>
      <c r="P691" s="213"/>
      <c r="Q691" s="213"/>
      <c r="R691" s="213"/>
      <c r="S691" s="213"/>
      <c r="T691" s="213"/>
      <c r="U691" s="213"/>
      <c r="V691" s="213"/>
      <c r="W691" s="213"/>
      <c r="X691" s="213"/>
      <c r="Y691" s="213"/>
      <c r="Z691" s="213"/>
      <c r="AA691" s="213"/>
      <c r="AB691" s="213"/>
      <c r="AC691" s="213"/>
      <c r="AD691" s="213"/>
    </row>
    <row r="692" ht="15.75" customHeight="1">
      <c r="A692" s="257"/>
      <c r="B692" s="213"/>
      <c r="C692" s="213"/>
      <c r="D692" s="213"/>
      <c r="E692" s="213"/>
      <c r="F692" s="213"/>
      <c r="G692" s="213"/>
      <c r="H692" s="213"/>
      <c r="I692" s="213"/>
      <c r="J692" s="213"/>
      <c r="K692" s="213"/>
      <c r="L692" s="213"/>
      <c r="M692" s="213"/>
      <c r="N692" s="213"/>
      <c r="O692" s="213"/>
      <c r="P692" s="213"/>
      <c r="Q692" s="213"/>
      <c r="R692" s="213"/>
      <c r="S692" s="213"/>
      <c r="T692" s="213"/>
      <c r="U692" s="213"/>
      <c r="V692" s="213"/>
      <c r="W692" s="213"/>
      <c r="X692" s="213"/>
      <c r="Y692" s="213"/>
      <c r="Z692" s="213"/>
      <c r="AA692" s="213"/>
      <c r="AB692" s="213"/>
      <c r="AC692" s="213"/>
      <c r="AD692" s="213"/>
    </row>
    <row r="693" ht="15.75" customHeight="1">
      <c r="A693" s="257"/>
      <c r="B693" s="213"/>
      <c r="C693" s="213"/>
      <c r="D693" s="213"/>
      <c r="E693" s="213"/>
      <c r="F693" s="213"/>
      <c r="G693" s="213"/>
      <c r="H693" s="213"/>
      <c r="I693" s="213"/>
      <c r="J693" s="213"/>
      <c r="K693" s="213"/>
      <c r="L693" s="213"/>
      <c r="M693" s="213"/>
      <c r="N693" s="213"/>
      <c r="O693" s="213"/>
      <c r="P693" s="213"/>
      <c r="Q693" s="213"/>
      <c r="R693" s="213"/>
      <c r="S693" s="213"/>
      <c r="T693" s="213"/>
      <c r="U693" s="213"/>
      <c r="V693" s="213"/>
      <c r="W693" s="213"/>
      <c r="X693" s="213"/>
      <c r="Y693" s="213"/>
      <c r="Z693" s="213"/>
      <c r="AA693" s="213"/>
      <c r="AB693" s="213"/>
      <c r="AC693" s="213"/>
      <c r="AD693" s="213"/>
    </row>
    <row r="694" ht="15.75" customHeight="1">
      <c r="A694" s="257"/>
      <c r="B694" s="213"/>
      <c r="C694" s="213"/>
      <c r="D694" s="213"/>
      <c r="E694" s="213"/>
      <c r="F694" s="213"/>
      <c r="G694" s="213"/>
      <c r="H694" s="213"/>
      <c r="I694" s="213"/>
      <c r="J694" s="213"/>
      <c r="K694" s="213"/>
      <c r="L694" s="213"/>
      <c r="M694" s="213"/>
      <c r="N694" s="213"/>
      <c r="O694" s="213"/>
      <c r="P694" s="213"/>
      <c r="Q694" s="213"/>
      <c r="R694" s="213"/>
      <c r="S694" s="213"/>
      <c r="T694" s="213"/>
      <c r="U694" s="213"/>
      <c r="V694" s="213"/>
      <c r="W694" s="213"/>
      <c r="X694" s="213"/>
      <c r="Y694" s="213"/>
      <c r="Z694" s="213"/>
      <c r="AA694" s="213"/>
      <c r="AB694" s="213"/>
      <c r="AC694" s="213"/>
      <c r="AD694" s="213"/>
    </row>
    <row r="695" ht="15.75" customHeight="1">
      <c r="A695" s="257"/>
      <c r="B695" s="213"/>
      <c r="C695" s="213"/>
      <c r="D695" s="213"/>
      <c r="E695" s="213"/>
      <c r="F695" s="213"/>
      <c r="G695" s="213"/>
      <c r="H695" s="213"/>
      <c r="I695" s="213"/>
      <c r="J695" s="213"/>
      <c r="K695" s="213"/>
      <c r="L695" s="213"/>
      <c r="M695" s="213"/>
      <c r="N695" s="213"/>
      <c r="O695" s="213"/>
      <c r="P695" s="213"/>
      <c r="Q695" s="213"/>
      <c r="R695" s="213"/>
      <c r="S695" s="213"/>
      <c r="T695" s="213"/>
      <c r="U695" s="213"/>
      <c r="V695" s="213"/>
      <c r="W695" s="213"/>
      <c r="X695" s="213"/>
      <c r="Y695" s="213"/>
      <c r="Z695" s="213"/>
      <c r="AA695" s="213"/>
      <c r="AB695" s="213"/>
      <c r="AC695" s="213"/>
      <c r="AD695" s="213"/>
    </row>
    <row r="696" ht="15.75" customHeight="1">
      <c r="A696" s="257"/>
      <c r="B696" s="213"/>
      <c r="C696" s="213"/>
      <c r="D696" s="213"/>
      <c r="E696" s="213"/>
      <c r="F696" s="213"/>
      <c r="G696" s="213"/>
      <c r="H696" s="213"/>
      <c r="I696" s="213"/>
      <c r="J696" s="213"/>
      <c r="K696" s="213"/>
      <c r="L696" s="213"/>
      <c r="M696" s="213"/>
      <c r="N696" s="213"/>
      <c r="O696" s="213"/>
      <c r="P696" s="213"/>
      <c r="Q696" s="213"/>
      <c r="R696" s="213"/>
      <c r="S696" s="213"/>
      <c r="T696" s="213"/>
      <c r="U696" s="213"/>
      <c r="V696" s="213"/>
      <c r="W696" s="213"/>
      <c r="X696" s="213"/>
      <c r="Y696" s="213"/>
      <c r="Z696" s="213"/>
      <c r="AA696" s="213"/>
      <c r="AB696" s="213"/>
      <c r="AC696" s="213"/>
      <c r="AD696" s="213"/>
    </row>
    <row r="697" ht="15.75" customHeight="1">
      <c r="A697" s="257"/>
      <c r="B697" s="213"/>
      <c r="C697" s="213"/>
      <c r="D697" s="213"/>
      <c r="E697" s="213"/>
      <c r="F697" s="213"/>
      <c r="G697" s="213"/>
      <c r="H697" s="213"/>
      <c r="I697" s="213"/>
      <c r="J697" s="213"/>
      <c r="K697" s="213"/>
      <c r="L697" s="213"/>
      <c r="M697" s="213"/>
      <c r="N697" s="213"/>
      <c r="O697" s="213"/>
      <c r="P697" s="213"/>
      <c r="Q697" s="213"/>
      <c r="R697" s="213"/>
      <c r="S697" s="213"/>
      <c r="T697" s="213"/>
      <c r="U697" s="213"/>
      <c r="V697" s="213"/>
      <c r="W697" s="213"/>
      <c r="X697" s="213"/>
      <c r="Y697" s="213"/>
      <c r="Z697" s="213"/>
      <c r="AA697" s="213"/>
      <c r="AB697" s="213"/>
      <c r="AC697" s="213"/>
      <c r="AD697" s="213"/>
    </row>
    <row r="698" ht="15.75" customHeight="1">
      <c r="A698" s="257"/>
      <c r="B698" s="213"/>
      <c r="C698" s="213"/>
      <c r="D698" s="213"/>
      <c r="E698" s="213"/>
      <c r="F698" s="213"/>
      <c r="G698" s="213"/>
      <c r="H698" s="213"/>
      <c r="I698" s="213"/>
      <c r="J698" s="213"/>
      <c r="K698" s="213"/>
      <c r="L698" s="213"/>
      <c r="M698" s="213"/>
      <c r="N698" s="213"/>
      <c r="O698" s="213"/>
      <c r="P698" s="213"/>
      <c r="Q698" s="213"/>
      <c r="R698" s="213"/>
      <c r="S698" s="213"/>
      <c r="T698" s="213"/>
      <c r="U698" s="213"/>
      <c r="V698" s="213"/>
      <c r="W698" s="213"/>
      <c r="X698" s="213"/>
      <c r="Y698" s="213"/>
      <c r="Z698" s="213"/>
      <c r="AA698" s="213"/>
      <c r="AB698" s="213"/>
      <c r="AC698" s="213"/>
      <c r="AD698" s="213"/>
    </row>
    <row r="699" ht="15.75" customHeight="1">
      <c r="A699" s="257"/>
      <c r="B699" s="213"/>
      <c r="C699" s="213"/>
      <c r="D699" s="213"/>
      <c r="E699" s="213"/>
      <c r="F699" s="213"/>
      <c r="G699" s="213"/>
      <c r="H699" s="213"/>
      <c r="I699" s="213"/>
      <c r="J699" s="213"/>
      <c r="K699" s="213"/>
      <c r="L699" s="213"/>
      <c r="M699" s="213"/>
      <c r="N699" s="213"/>
      <c r="O699" s="213"/>
      <c r="P699" s="213"/>
      <c r="Q699" s="213"/>
      <c r="R699" s="213"/>
      <c r="S699" s="213"/>
      <c r="T699" s="213"/>
      <c r="U699" s="213"/>
      <c r="V699" s="213"/>
      <c r="W699" s="213"/>
      <c r="X699" s="213"/>
      <c r="Y699" s="213"/>
      <c r="Z699" s="213"/>
      <c r="AA699" s="213"/>
      <c r="AB699" s="213"/>
      <c r="AC699" s="213"/>
      <c r="AD699" s="213"/>
    </row>
    <row r="700" ht="15.75" customHeight="1">
      <c r="A700" s="257"/>
      <c r="B700" s="213"/>
      <c r="C700" s="213"/>
      <c r="D700" s="213"/>
      <c r="E700" s="213"/>
      <c r="F700" s="213"/>
      <c r="G700" s="213"/>
      <c r="H700" s="213"/>
      <c r="I700" s="213"/>
      <c r="J700" s="213"/>
      <c r="K700" s="213"/>
      <c r="L700" s="213"/>
      <c r="M700" s="213"/>
      <c r="N700" s="213"/>
      <c r="O700" s="213"/>
      <c r="P700" s="213"/>
      <c r="Q700" s="213"/>
      <c r="R700" s="213"/>
      <c r="S700" s="213"/>
      <c r="T700" s="213"/>
      <c r="U700" s="213"/>
      <c r="V700" s="213"/>
      <c r="W700" s="213"/>
      <c r="X700" s="213"/>
      <c r="Y700" s="213"/>
      <c r="Z700" s="213"/>
      <c r="AA700" s="213"/>
      <c r="AB700" s="213"/>
      <c r="AC700" s="213"/>
      <c r="AD700" s="213"/>
    </row>
    <row r="701" ht="15.75" customHeight="1">
      <c r="A701" s="257"/>
      <c r="B701" s="213"/>
      <c r="C701" s="213"/>
      <c r="D701" s="213"/>
      <c r="E701" s="213"/>
      <c r="F701" s="213"/>
      <c r="G701" s="213"/>
      <c r="H701" s="213"/>
      <c r="I701" s="213"/>
      <c r="J701" s="213"/>
      <c r="K701" s="213"/>
      <c r="L701" s="213"/>
      <c r="M701" s="213"/>
      <c r="N701" s="213"/>
      <c r="O701" s="213"/>
      <c r="P701" s="213"/>
      <c r="Q701" s="213"/>
      <c r="R701" s="213"/>
      <c r="S701" s="213"/>
      <c r="T701" s="213"/>
      <c r="U701" s="213"/>
      <c r="V701" s="213"/>
      <c r="W701" s="213"/>
      <c r="X701" s="213"/>
      <c r="Y701" s="213"/>
      <c r="Z701" s="213"/>
      <c r="AA701" s="213"/>
      <c r="AB701" s="213"/>
      <c r="AC701" s="213"/>
      <c r="AD701" s="213"/>
    </row>
    <row r="702" ht="15.75" customHeight="1">
      <c r="A702" s="257"/>
      <c r="B702" s="213"/>
      <c r="C702" s="213"/>
      <c r="D702" s="213"/>
      <c r="E702" s="213"/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  <c r="Q702" s="213"/>
      <c r="R702" s="213"/>
      <c r="S702" s="213"/>
      <c r="T702" s="213"/>
      <c r="U702" s="213"/>
      <c r="V702" s="213"/>
      <c r="W702" s="213"/>
      <c r="X702" s="213"/>
      <c r="Y702" s="213"/>
      <c r="Z702" s="213"/>
      <c r="AA702" s="213"/>
      <c r="AB702" s="213"/>
      <c r="AC702" s="213"/>
      <c r="AD702" s="213"/>
    </row>
    <row r="703" ht="15.75" customHeight="1">
      <c r="A703" s="257"/>
      <c r="B703" s="213"/>
      <c r="C703" s="213"/>
      <c r="D703" s="213"/>
      <c r="E703" s="213"/>
      <c r="F703" s="213"/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  <c r="Q703" s="213"/>
      <c r="R703" s="213"/>
      <c r="S703" s="213"/>
      <c r="T703" s="213"/>
      <c r="U703" s="213"/>
      <c r="V703" s="213"/>
      <c r="W703" s="213"/>
      <c r="X703" s="213"/>
      <c r="Y703" s="213"/>
      <c r="Z703" s="213"/>
      <c r="AA703" s="213"/>
      <c r="AB703" s="213"/>
      <c r="AC703" s="213"/>
      <c r="AD703" s="213"/>
    </row>
    <row r="704" ht="15.75" customHeight="1">
      <c r="A704" s="257"/>
      <c r="B704" s="213"/>
      <c r="C704" s="213"/>
      <c r="D704" s="213"/>
      <c r="E704" s="213"/>
      <c r="F704" s="213"/>
      <c r="G704" s="213"/>
      <c r="H704" s="213"/>
      <c r="I704" s="213"/>
      <c r="J704" s="213"/>
      <c r="K704" s="213"/>
      <c r="L704" s="213"/>
      <c r="M704" s="213"/>
      <c r="N704" s="213"/>
      <c r="O704" s="213"/>
      <c r="P704" s="213"/>
      <c r="Q704" s="213"/>
      <c r="R704" s="213"/>
      <c r="S704" s="213"/>
      <c r="T704" s="213"/>
      <c r="U704" s="213"/>
      <c r="V704" s="213"/>
      <c r="W704" s="213"/>
      <c r="X704" s="213"/>
      <c r="Y704" s="213"/>
      <c r="Z704" s="213"/>
      <c r="AA704" s="213"/>
      <c r="AB704" s="213"/>
      <c r="AC704" s="213"/>
      <c r="AD704" s="213"/>
    </row>
    <row r="705" ht="15.75" customHeight="1">
      <c r="A705" s="257"/>
      <c r="B705" s="213"/>
      <c r="C705" s="213"/>
      <c r="D705" s="213"/>
      <c r="E705" s="213"/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  <c r="Q705" s="213"/>
      <c r="R705" s="213"/>
      <c r="S705" s="213"/>
      <c r="T705" s="213"/>
      <c r="U705" s="213"/>
      <c r="V705" s="213"/>
      <c r="W705" s="213"/>
      <c r="X705" s="213"/>
      <c r="Y705" s="213"/>
      <c r="Z705" s="213"/>
      <c r="AA705" s="213"/>
      <c r="AB705" s="213"/>
      <c r="AC705" s="213"/>
      <c r="AD705" s="213"/>
    </row>
    <row r="706" ht="15.75" customHeight="1">
      <c r="A706" s="257"/>
      <c r="B706" s="213"/>
      <c r="C706" s="213"/>
      <c r="D706" s="213"/>
      <c r="E706" s="213"/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  <c r="Q706" s="213"/>
      <c r="R706" s="213"/>
      <c r="S706" s="213"/>
      <c r="T706" s="213"/>
      <c r="U706" s="213"/>
      <c r="V706" s="213"/>
      <c r="W706" s="213"/>
      <c r="X706" s="213"/>
      <c r="Y706" s="213"/>
      <c r="Z706" s="213"/>
      <c r="AA706" s="213"/>
      <c r="AB706" s="213"/>
      <c r="AC706" s="213"/>
      <c r="AD706" s="213"/>
    </row>
    <row r="707" ht="15.75" customHeight="1">
      <c r="A707" s="257"/>
      <c r="B707" s="213"/>
      <c r="C707" s="213"/>
      <c r="D707" s="213"/>
      <c r="E707" s="213"/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  <c r="Q707" s="213"/>
      <c r="R707" s="213"/>
      <c r="S707" s="213"/>
      <c r="T707" s="213"/>
      <c r="U707" s="213"/>
      <c r="V707" s="213"/>
      <c r="W707" s="213"/>
      <c r="X707" s="213"/>
      <c r="Y707" s="213"/>
      <c r="Z707" s="213"/>
      <c r="AA707" s="213"/>
      <c r="AB707" s="213"/>
      <c r="AC707" s="213"/>
      <c r="AD707" s="213"/>
    </row>
    <row r="708" ht="15.75" customHeight="1">
      <c r="A708" s="257"/>
      <c r="B708" s="213"/>
      <c r="C708" s="213"/>
      <c r="D708" s="213"/>
      <c r="E708" s="213"/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  <c r="Q708" s="213"/>
      <c r="R708" s="213"/>
      <c r="S708" s="213"/>
      <c r="T708" s="213"/>
      <c r="U708" s="213"/>
      <c r="V708" s="213"/>
      <c r="W708" s="213"/>
      <c r="X708" s="213"/>
      <c r="Y708" s="213"/>
      <c r="Z708" s="213"/>
      <c r="AA708" s="213"/>
      <c r="AB708" s="213"/>
      <c r="AC708" s="213"/>
      <c r="AD708" s="213"/>
    </row>
    <row r="709" ht="15.75" customHeight="1">
      <c r="A709" s="257"/>
      <c r="B709" s="213"/>
      <c r="C709" s="213"/>
      <c r="D709" s="213"/>
      <c r="E709" s="213"/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  <c r="Q709" s="213"/>
      <c r="R709" s="213"/>
      <c r="S709" s="213"/>
      <c r="T709" s="213"/>
      <c r="U709" s="213"/>
      <c r="V709" s="213"/>
      <c r="W709" s="213"/>
      <c r="X709" s="213"/>
      <c r="Y709" s="213"/>
      <c r="Z709" s="213"/>
      <c r="AA709" s="213"/>
      <c r="AB709" s="213"/>
      <c r="AC709" s="213"/>
      <c r="AD709" s="213"/>
    </row>
    <row r="710" ht="15.75" customHeight="1">
      <c r="A710" s="257"/>
      <c r="B710" s="213"/>
      <c r="C710" s="213"/>
      <c r="D710" s="213"/>
      <c r="E710" s="213"/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  <c r="Q710" s="213"/>
      <c r="R710" s="213"/>
      <c r="S710" s="213"/>
      <c r="T710" s="213"/>
      <c r="U710" s="213"/>
      <c r="V710" s="213"/>
      <c r="W710" s="213"/>
      <c r="X710" s="213"/>
      <c r="Y710" s="213"/>
      <c r="Z710" s="213"/>
      <c r="AA710" s="213"/>
      <c r="AB710" s="213"/>
      <c r="AC710" s="213"/>
      <c r="AD710" s="213"/>
    </row>
    <row r="711" ht="15.75" customHeight="1">
      <c r="A711" s="257"/>
      <c r="B711" s="213"/>
      <c r="C711" s="213"/>
      <c r="D711" s="213"/>
      <c r="E711" s="213"/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  <c r="Q711" s="213"/>
      <c r="R711" s="213"/>
      <c r="S711" s="213"/>
      <c r="T711" s="213"/>
      <c r="U711" s="213"/>
      <c r="V711" s="213"/>
      <c r="W711" s="213"/>
      <c r="X711" s="213"/>
      <c r="Y711" s="213"/>
      <c r="Z711" s="213"/>
      <c r="AA711" s="213"/>
      <c r="AB711" s="213"/>
      <c r="AC711" s="213"/>
      <c r="AD711" s="213"/>
    </row>
    <row r="712" ht="15.75" customHeight="1">
      <c r="A712" s="257"/>
      <c r="B712" s="213"/>
      <c r="C712" s="213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  <c r="Q712" s="213"/>
      <c r="R712" s="213"/>
      <c r="S712" s="213"/>
      <c r="T712" s="213"/>
      <c r="U712" s="213"/>
      <c r="V712" s="213"/>
      <c r="W712" s="213"/>
      <c r="X712" s="213"/>
      <c r="Y712" s="213"/>
      <c r="Z712" s="213"/>
      <c r="AA712" s="213"/>
      <c r="AB712" s="213"/>
      <c r="AC712" s="213"/>
      <c r="AD712" s="213"/>
    </row>
    <row r="713" ht="15.75" customHeight="1">
      <c r="A713" s="257"/>
      <c r="B713" s="213"/>
      <c r="C713" s="213"/>
      <c r="D713" s="213"/>
      <c r="E713" s="213"/>
      <c r="F713" s="213"/>
      <c r="G713" s="213"/>
      <c r="H713" s="213"/>
      <c r="I713" s="213"/>
      <c r="J713" s="213"/>
      <c r="K713" s="213"/>
      <c r="L713" s="213"/>
      <c r="M713" s="213"/>
      <c r="N713" s="213"/>
      <c r="O713" s="213"/>
      <c r="P713" s="213"/>
      <c r="Q713" s="213"/>
      <c r="R713" s="213"/>
      <c r="S713" s="213"/>
      <c r="T713" s="213"/>
      <c r="U713" s="213"/>
      <c r="V713" s="213"/>
      <c r="W713" s="213"/>
      <c r="X713" s="213"/>
      <c r="Y713" s="213"/>
      <c r="Z713" s="213"/>
      <c r="AA713" s="213"/>
      <c r="AB713" s="213"/>
      <c r="AC713" s="213"/>
      <c r="AD713" s="213"/>
    </row>
    <row r="714" ht="15.75" customHeight="1">
      <c r="A714" s="257"/>
      <c r="B714" s="213"/>
      <c r="C714" s="213"/>
      <c r="D714" s="213"/>
      <c r="E714" s="213"/>
      <c r="F714" s="213"/>
      <c r="G714" s="213"/>
      <c r="H714" s="213"/>
      <c r="I714" s="213"/>
      <c r="J714" s="213"/>
      <c r="K714" s="213"/>
      <c r="L714" s="213"/>
      <c r="M714" s="213"/>
      <c r="N714" s="213"/>
      <c r="O714" s="213"/>
      <c r="P714" s="213"/>
      <c r="Q714" s="213"/>
      <c r="R714" s="213"/>
      <c r="S714" s="213"/>
      <c r="T714" s="213"/>
      <c r="U714" s="213"/>
      <c r="V714" s="213"/>
      <c r="W714" s="213"/>
      <c r="X714" s="213"/>
      <c r="Y714" s="213"/>
      <c r="Z714" s="213"/>
      <c r="AA714" s="213"/>
      <c r="AB714" s="213"/>
      <c r="AC714" s="213"/>
      <c r="AD714" s="213"/>
    </row>
    <row r="715" ht="15.75" customHeight="1">
      <c r="A715" s="257"/>
      <c r="B715" s="213"/>
      <c r="C715" s="213"/>
      <c r="D715" s="213"/>
      <c r="E715" s="213"/>
      <c r="F715" s="213"/>
      <c r="G715" s="213"/>
      <c r="H715" s="213"/>
      <c r="I715" s="213"/>
      <c r="J715" s="213"/>
      <c r="K715" s="213"/>
      <c r="L715" s="213"/>
      <c r="M715" s="213"/>
      <c r="N715" s="213"/>
      <c r="O715" s="213"/>
      <c r="P715" s="213"/>
      <c r="Q715" s="213"/>
      <c r="R715" s="213"/>
      <c r="S715" s="213"/>
      <c r="T715" s="213"/>
      <c r="U715" s="213"/>
      <c r="V715" s="213"/>
      <c r="W715" s="213"/>
      <c r="X715" s="213"/>
      <c r="Y715" s="213"/>
      <c r="Z715" s="213"/>
      <c r="AA715" s="213"/>
      <c r="AB715" s="213"/>
      <c r="AC715" s="213"/>
      <c r="AD715" s="213"/>
    </row>
    <row r="716" ht="15.75" customHeight="1">
      <c r="A716" s="257"/>
      <c r="B716" s="213"/>
      <c r="C716" s="213"/>
      <c r="D716" s="213"/>
      <c r="E716" s="213"/>
      <c r="F716" s="213"/>
      <c r="G716" s="213"/>
      <c r="H716" s="213"/>
      <c r="I716" s="213"/>
      <c r="J716" s="213"/>
      <c r="K716" s="213"/>
      <c r="L716" s="213"/>
      <c r="M716" s="213"/>
      <c r="N716" s="213"/>
      <c r="O716" s="213"/>
      <c r="P716" s="213"/>
      <c r="Q716" s="213"/>
      <c r="R716" s="213"/>
      <c r="S716" s="213"/>
      <c r="T716" s="213"/>
      <c r="U716" s="213"/>
      <c r="V716" s="213"/>
      <c r="W716" s="213"/>
      <c r="X716" s="213"/>
      <c r="Y716" s="213"/>
      <c r="Z716" s="213"/>
      <c r="AA716" s="213"/>
      <c r="AB716" s="213"/>
      <c r="AC716" s="213"/>
      <c r="AD716" s="213"/>
    </row>
    <row r="717" ht="15.75" customHeight="1">
      <c r="A717" s="257"/>
      <c r="B717" s="213"/>
      <c r="C717" s="213"/>
      <c r="D717" s="213"/>
      <c r="E717" s="213"/>
      <c r="F717" s="213"/>
      <c r="G717" s="213"/>
      <c r="H717" s="213"/>
      <c r="I717" s="213"/>
      <c r="J717" s="213"/>
      <c r="K717" s="213"/>
      <c r="L717" s="213"/>
      <c r="M717" s="213"/>
      <c r="N717" s="213"/>
      <c r="O717" s="213"/>
      <c r="P717" s="213"/>
      <c r="Q717" s="213"/>
      <c r="R717" s="213"/>
      <c r="S717" s="213"/>
      <c r="T717" s="213"/>
      <c r="U717" s="213"/>
      <c r="V717" s="213"/>
      <c r="W717" s="213"/>
      <c r="X717" s="213"/>
      <c r="Y717" s="213"/>
      <c r="Z717" s="213"/>
      <c r="AA717" s="213"/>
      <c r="AB717" s="213"/>
      <c r="AC717" s="213"/>
      <c r="AD717" s="213"/>
    </row>
    <row r="718" ht="15.75" customHeight="1">
      <c r="A718" s="257"/>
      <c r="B718" s="213"/>
      <c r="C718" s="213"/>
      <c r="D718" s="213"/>
      <c r="E718" s="213"/>
      <c r="F718" s="213"/>
      <c r="G718" s="213"/>
      <c r="H718" s="213"/>
      <c r="I718" s="213"/>
      <c r="J718" s="213"/>
      <c r="K718" s="213"/>
      <c r="L718" s="213"/>
      <c r="M718" s="213"/>
      <c r="N718" s="213"/>
      <c r="O718" s="213"/>
      <c r="P718" s="213"/>
      <c r="Q718" s="213"/>
      <c r="R718" s="213"/>
      <c r="S718" s="213"/>
      <c r="T718" s="213"/>
      <c r="U718" s="213"/>
      <c r="V718" s="213"/>
      <c r="W718" s="213"/>
      <c r="X718" s="213"/>
      <c r="Y718" s="213"/>
      <c r="Z718" s="213"/>
      <c r="AA718" s="213"/>
      <c r="AB718" s="213"/>
      <c r="AC718" s="213"/>
      <c r="AD718" s="213"/>
    </row>
    <row r="719" ht="15.75" customHeight="1">
      <c r="A719" s="257"/>
      <c r="B719" s="213"/>
      <c r="C719" s="213"/>
      <c r="D719" s="213"/>
      <c r="E719" s="213"/>
      <c r="F719" s="213"/>
      <c r="G719" s="213"/>
      <c r="H719" s="213"/>
      <c r="I719" s="213"/>
      <c r="J719" s="213"/>
      <c r="K719" s="213"/>
      <c r="L719" s="213"/>
      <c r="M719" s="213"/>
      <c r="N719" s="213"/>
      <c r="O719" s="213"/>
      <c r="P719" s="213"/>
      <c r="Q719" s="213"/>
      <c r="R719" s="213"/>
      <c r="S719" s="213"/>
      <c r="T719" s="213"/>
      <c r="U719" s="213"/>
      <c r="V719" s="213"/>
      <c r="W719" s="213"/>
      <c r="X719" s="213"/>
      <c r="Y719" s="213"/>
      <c r="Z719" s="213"/>
      <c r="AA719" s="213"/>
      <c r="AB719" s="213"/>
      <c r="AC719" s="213"/>
      <c r="AD719" s="213"/>
    </row>
    <row r="720" ht="15.75" customHeight="1">
      <c r="A720" s="257"/>
      <c r="B720" s="213"/>
      <c r="C720" s="213"/>
      <c r="D720" s="213"/>
      <c r="E720" s="213"/>
      <c r="F720" s="213"/>
      <c r="G720" s="213"/>
      <c r="H720" s="213"/>
      <c r="I720" s="213"/>
      <c r="J720" s="213"/>
      <c r="K720" s="213"/>
      <c r="L720" s="213"/>
      <c r="M720" s="213"/>
      <c r="N720" s="213"/>
      <c r="O720" s="213"/>
      <c r="P720" s="213"/>
      <c r="Q720" s="213"/>
      <c r="R720" s="213"/>
      <c r="S720" s="213"/>
      <c r="T720" s="213"/>
      <c r="U720" s="213"/>
      <c r="V720" s="213"/>
      <c r="W720" s="213"/>
      <c r="X720" s="213"/>
      <c r="Y720" s="213"/>
      <c r="Z720" s="213"/>
      <c r="AA720" s="213"/>
      <c r="AB720" s="213"/>
      <c r="AC720" s="213"/>
      <c r="AD720" s="213"/>
    </row>
    <row r="721" ht="15.75" customHeight="1">
      <c r="A721" s="257"/>
      <c r="B721" s="213"/>
      <c r="C721" s="213"/>
      <c r="D721" s="213"/>
      <c r="E721" s="213"/>
      <c r="F721" s="213"/>
      <c r="G721" s="213"/>
      <c r="H721" s="213"/>
      <c r="I721" s="213"/>
      <c r="J721" s="213"/>
      <c r="K721" s="213"/>
      <c r="L721" s="213"/>
      <c r="M721" s="213"/>
      <c r="N721" s="213"/>
      <c r="O721" s="213"/>
      <c r="P721" s="213"/>
      <c r="Q721" s="213"/>
      <c r="R721" s="213"/>
      <c r="S721" s="213"/>
      <c r="T721" s="213"/>
      <c r="U721" s="213"/>
      <c r="V721" s="213"/>
      <c r="W721" s="213"/>
      <c r="X721" s="213"/>
      <c r="Y721" s="213"/>
      <c r="Z721" s="213"/>
      <c r="AA721" s="213"/>
      <c r="AB721" s="213"/>
      <c r="AC721" s="213"/>
      <c r="AD721" s="213"/>
    </row>
    <row r="722" ht="15.75" customHeight="1">
      <c r="A722" s="257"/>
      <c r="B722" s="213"/>
      <c r="C722" s="213"/>
      <c r="D722" s="213"/>
      <c r="E722" s="213"/>
      <c r="F722" s="213"/>
      <c r="G722" s="213"/>
      <c r="H722" s="213"/>
      <c r="I722" s="213"/>
      <c r="J722" s="213"/>
      <c r="K722" s="213"/>
      <c r="L722" s="213"/>
      <c r="M722" s="213"/>
      <c r="N722" s="213"/>
      <c r="O722" s="213"/>
      <c r="P722" s="213"/>
      <c r="Q722" s="213"/>
      <c r="R722" s="213"/>
      <c r="S722" s="213"/>
      <c r="T722" s="213"/>
      <c r="U722" s="213"/>
      <c r="V722" s="213"/>
      <c r="W722" s="213"/>
      <c r="X722" s="213"/>
      <c r="Y722" s="213"/>
      <c r="Z722" s="213"/>
      <c r="AA722" s="213"/>
      <c r="AB722" s="213"/>
      <c r="AC722" s="213"/>
      <c r="AD722" s="213"/>
    </row>
    <row r="723" ht="15.75" customHeight="1">
      <c r="A723" s="257"/>
      <c r="B723" s="213"/>
      <c r="C723" s="213"/>
      <c r="D723" s="213"/>
      <c r="E723" s="213"/>
      <c r="F723" s="213"/>
      <c r="G723" s="213"/>
      <c r="H723" s="213"/>
      <c r="I723" s="213"/>
      <c r="J723" s="213"/>
      <c r="K723" s="213"/>
      <c r="L723" s="213"/>
      <c r="M723" s="213"/>
      <c r="N723" s="213"/>
      <c r="O723" s="213"/>
      <c r="P723" s="213"/>
      <c r="Q723" s="213"/>
      <c r="R723" s="213"/>
      <c r="S723" s="213"/>
      <c r="T723" s="213"/>
      <c r="U723" s="213"/>
      <c r="V723" s="213"/>
      <c r="W723" s="213"/>
      <c r="X723" s="213"/>
      <c r="Y723" s="213"/>
      <c r="Z723" s="213"/>
      <c r="AA723" s="213"/>
      <c r="AB723" s="213"/>
      <c r="AC723" s="213"/>
      <c r="AD723" s="213"/>
    </row>
    <row r="724" ht="15.75" customHeight="1">
      <c r="A724" s="257"/>
      <c r="B724" s="213"/>
      <c r="C724" s="213"/>
      <c r="D724" s="213"/>
      <c r="E724" s="213"/>
      <c r="F724" s="213"/>
      <c r="G724" s="213"/>
      <c r="H724" s="213"/>
      <c r="I724" s="213"/>
      <c r="J724" s="213"/>
      <c r="K724" s="213"/>
      <c r="L724" s="213"/>
      <c r="M724" s="213"/>
      <c r="N724" s="213"/>
      <c r="O724" s="213"/>
      <c r="P724" s="213"/>
      <c r="Q724" s="213"/>
      <c r="R724" s="213"/>
      <c r="S724" s="213"/>
      <c r="T724" s="213"/>
      <c r="U724" s="213"/>
      <c r="V724" s="213"/>
      <c r="W724" s="213"/>
      <c r="X724" s="213"/>
      <c r="Y724" s="213"/>
      <c r="Z724" s="213"/>
      <c r="AA724" s="213"/>
      <c r="AB724" s="213"/>
      <c r="AC724" s="213"/>
      <c r="AD724" s="213"/>
    </row>
    <row r="725" ht="15.75" customHeight="1">
      <c r="A725" s="257"/>
      <c r="B725" s="213"/>
      <c r="C725" s="213"/>
      <c r="D725" s="213"/>
      <c r="E725" s="213"/>
      <c r="F725" s="213"/>
      <c r="G725" s="213"/>
      <c r="H725" s="213"/>
      <c r="I725" s="213"/>
      <c r="J725" s="213"/>
      <c r="K725" s="213"/>
      <c r="L725" s="213"/>
      <c r="M725" s="213"/>
      <c r="N725" s="213"/>
      <c r="O725" s="213"/>
      <c r="P725" s="213"/>
      <c r="Q725" s="213"/>
      <c r="R725" s="213"/>
      <c r="S725" s="213"/>
      <c r="T725" s="213"/>
      <c r="U725" s="213"/>
      <c r="V725" s="213"/>
      <c r="W725" s="213"/>
      <c r="X725" s="213"/>
      <c r="Y725" s="213"/>
      <c r="Z725" s="213"/>
      <c r="AA725" s="213"/>
      <c r="AB725" s="213"/>
      <c r="AC725" s="213"/>
      <c r="AD725" s="213"/>
    </row>
    <row r="726" ht="15.75" customHeight="1">
      <c r="A726" s="257"/>
      <c r="B726" s="213"/>
      <c r="C726" s="213"/>
      <c r="D726" s="213"/>
      <c r="E726" s="213"/>
      <c r="F726" s="213"/>
      <c r="G726" s="213"/>
      <c r="H726" s="213"/>
      <c r="I726" s="213"/>
      <c r="J726" s="213"/>
      <c r="K726" s="213"/>
      <c r="L726" s="213"/>
      <c r="M726" s="213"/>
      <c r="N726" s="213"/>
      <c r="O726" s="213"/>
      <c r="P726" s="213"/>
      <c r="Q726" s="213"/>
      <c r="R726" s="213"/>
      <c r="S726" s="213"/>
      <c r="T726" s="213"/>
      <c r="U726" s="213"/>
      <c r="V726" s="213"/>
      <c r="W726" s="213"/>
      <c r="X726" s="213"/>
      <c r="Y726" s="213"/>
      <c r="Z726" s="213"/>
      <c r="AA726" s="213"/>
      <c r="AB726" s="213"/>
      <c r="AC726" s="213"/>
      <c r="AD726" s="213"/>
    </row>
    <row r="727" ht="15.75" customHeight="1">
      <c r="A727" s="257"/>
      <c r="B727" s="213"/>
      <c r="C727" s="213"/>
      <c r="D727" s="213"/>
      <c r="E727" s="213"/>
      <c r="F727" s="213"/>
      <c r="G727" s="213"/>
      <c r="H727" s="213"/>
      <c r="I727" s="213"/>
      <c r="J727" s="213"/>
      <c r="K727" s="213"/>
      <c r="L727" s="213"/>
      <c r="M727" s="213"/>
      <c r="N727" s="213"/>
      <c r="O727" s="213"/>
      <c r="P727" s="213"/>
      <c r="Q727" s="213"/>
      <c r="R727" s="213"/>
      <c r="S727" s="213"/>
      <c r="T727" s="213"/>
      <c r="U727" s="213"/>
      <c r="V727" s="213"/>
      <c r="W727" s="213"/>
      <c r="X727" s="213"/>
      <c r="Y727" s="213"/>
      <c r="Z727" s="213"/>
      <c r="AA727" s="213"/>
      <c r="AB727" s="213"/>
      <c r="AC727" s="213"/>
      <c r="AD727" s="213"/>
    </row>
    <row r="728" ht="15.75" customHeight="1">
      <c r="A728" s="257"/>
      <c r="B728" s="213"/>
      <c r="C728" s="213"/>
      <c r="D728" s="213"/>
      <c r="E728" s="213"/>
      <c r="F728" s="213"/>
      <c r="G728" s="213"/>
      <c r="H728" s="213"/>
      <c r="I728" s="213"/>
      <c r="J728" s="213"/>
      <c r="K728" s="213"/>
      <c r="L728" s="213"/>
      <c r="M728" s="213"/>
      <c r="N728" s="213"/>
      <c r="O728" s="213"/>
      <c r="P728" s="213"/>
      <c r="Q728" s="213"/>
      <c r="R728" s="213"/>
      <c r="S728" s="213"/>
      <c r="T728" s="213"/>
      <c r="U728" s="213"/>
      <c r="V728" s="213"/>
      <c r="W728" s="213"/>
      <c r="X728" s="213"/>
      <c r="Y728" s="213"/>
      <c r="Z728" s="213"/>
      <c r="AA728" s="213"/>
      <c r="AB728" s="213"/>
      <c r="AC728" s="213"/>
      <c r="AD728" s="213"/>
    </row>
    <row r="729" ht="15.75" customHeight="1">
      <c r="A729" s="257"/>
      <c r="B729" s="213"/>
      <c r="C729" s="213"/>
      <c r="D729" s="213"/>
      <c r="E729" s="213"/>
      <c r="F729" s="213"/>
      <c r="G729" s="213"/>
      <c r="H729" s="213"/>
      <c r="I729" s="213"/>
      <c r="J729" s="213"/>
      <c r="K729" s="213"/>
      <c r="L729" s="213"/>
      <c r="M729" s="213"/>
      <c r="N729" s="213"/>
      <c r="O729" s="213"/>
      <c r="P729" s="213"/>
      <c r="Q729" s="213"/>
      <c r="R729" s="213"/>
      <c r="S729" s="213"/>
      <c r="T729" s="213"/>
      <c r="U729" s="213"/>
      <c r="V729" s="213"/>
      <c r="W729" s="213"/>
      <c r="X729" s="213"/>
      <c r="Y729" s="213"/>
      <c r="Z729" s="213"/>
      <c r="AA729" s="213"/>
      <c r="AB729" s="213"/>
      <c r="AC729" s="213"/>
      <c r="AD729" s="213"/>
    </row>
    <row r="730" ht="15.75" customHeight="1">
      <c r="A730" s="257"/>
      <c r="B730" s="213"/>
      <c r="C730" s="213"/>
      <c r="D730" s="213"/>
      <c r="E730" s="213"/>
      <c r="F730" s="213"/>
      <c r="G730" s="213"/>
      <c r="H730" s="213"/>
      <c r="I730" s="213"/>
      <c r="J730" s="213"/>
      <c r="K730" s="213"/>
      <c r="L730" s="213"/>
      <c r="M730" s="213"/>
      <c r="N730" s="213"/>
      <c r="O730" s="213"/>
      <c r="P730" s="213"/>
      <c r="Q730" s="213"/>
      <c r="R730" s="213"/>
      <c r="S730" s="213"/>
      <c r="T730" s="213"/>
      <c r="U730" s="213"/>
      <c r="V730" s="213"/>
      <c r="W730" s="213"/>
      <c r="X730" s="213"/>
      <c r="Y730" s="213"/>
      <c r="Z730" s="213"/>
      <c r="AA730" s="213"/>
      <c r="AB730" s="213"/>
      <c r="AC730" s="213"/>
      <c r="AD730" s="213"/>
    </row>
    <row r="731" ht="15.75" customHeight="1">
      <c r="A731" s="257"/>
      <c r="B731" s="213"/>
      <c r="C731" s="213"/>
      <c r="D731" s="213"/>
      <c r="E731" s="213"/>
      <c r="F731" s="213"/>
      <c r="G731" s="213"/>
      <c r="H731" s="213"/>
      <c r="I731" s="213"/>
      <c r="J731" s="213"/>
      <c r="K731" s="213"/>
      <c r="L731" s="213"/>
      <c r="M731" s="213"/>
      <c r="N731" s="213"/>
      <c r="O731" s="213"/>
      <c r="P731" s="213"/>
      <c r="Q731" s="213"/>
      <c r="R731" s="213"/>
      <c r="S731" s="213"/>
      <c r="T731" s="213"/>
      <c r="U731" s="213"/>
      <c r="V731" s="213"/>
      <c r="W731" s="213"/>
      <c r="X731" s="213"/>
      <c r="Y731" s="213"/>
      <c r="Z731" s="213"/>
      <c r="AA731" s="213"/>
      <c r="AB731" s="213"/>
      <c r="AC731" s="213"/>
      <c r="AD731" s="213"/>
    </row>
    <row r="732" ht="15.75" customHeight="1">
      <c r="A732" s="257"/>
      <c r="B732" s="213"/>
      <c r="C732" s="213"/>
      <c r="D732" s="213"/>
      <c r="E732" s="213"/>
      <c r="F732" s="213"/>
      <c r="G732" s="213"/>
      <c r="H732" s="213"/>
      <c r="I732" s="213"/>
      <c r="J732" s="213"/>
      <c r="K732" s="213"/>
      <c r="L732" s="213"/>
      <c r="M732" s="213"/>
      <c r="N732" s="213"/>
      <c r="O732" s="213"/>
      <c r="P732" s="213"/>
      <c r="Q732" s="213"/>
      <c r="R732" s="213"/>
      <c r="S732" s="213"/>
      <c r="T732" s="213"/>
      <c r="U732" s="213"/>
      <c r="V732" s="213"/>
      <c r="W732" s="213"/>
      <c r="X732" s="213"/>
      <c r="Y732" s="213"/>
      <c r="Z732" s="213"/>
      <c r="AA732" s="213"/>
      <c r="AB732" s="213"/>
      <c r="AC732" s="213"/>
      <c r="AD732" s="213"/>
    </row>
    <row r="733" ht="15.75" customHeight="1">
      <c r="A733" s="257"/>
      <c r="B733" s="213"/>
      <c r="C733" s="213"/>
      <c r="D733" s="213"/>
      <c r="E733" s="213"/>
      <c r="F733" s="213"/>
      <c r="G733" s="213"/>
      <c r="H733" s="213"/>
      <c r="I733" s="213"/>
      <c r="J733" s="213"/>
      <c r="K733" s="213"/>
      <c r="L733" s="213"/>
      <c r="M733" s="213"/>
      <c r="N733" s="213"/>
      <c r="O733" s="213"/>
      <c r="P733" s="213"/>
      <c r="Q733" s="213"/>
      <c r="R733" s="213"/>
      <c r="S733" s="213"/>
      <c r="T733" s="213"/>
      <c r="U733" s="213"/>
      <c r="V733" s="213"/>
      <c r="W733" s="213"/>
      <c r="X733" s="213"/>
      <c r="Y733" s="213"/>
      <c r="Z733" s="213"/>
      <c r="AA733" s="213"/>
      <c r="AB733" s="213"/>
      <c r="AC733" s="213"/>
      <c r="AD733" s="213"/>
    </row>
    <row r="734" ht="15.75" customHeight="1">
      <c r="A734" s="257"/>
      <c r="B734" s="213"/>
      <c r="C734" s="213"/>
      <c r="D734" s="213"/>
      <c r="E734" s="213"/>
      <c r="F734" s="213"/>
      <c r="G734" s="213"/>
      <c r="H734" s="213"/>
      <c r="I734" s="213"/>
      <c r="J734" s="213"/>
      <c r="K734" s="213"/>
      <c r="L734" s="213"/>
      <c r="M734" s="213"/>
      <c r="N734" s="213"/>
      <c r="O734" s="213"/>
      <c r="P734" s="213"/>
      <c r="Q734" s="213"/>
      <c r="R734" s="213"/>
      <c r="S734" s="213"/>
      <c r="T734" s="213"/>
      <c r="U734" s="213"/>
      <c r="V734" s="213"/>
      <c r="W734" s="213"/>
      <c r="X734" s="213"/>
      <c r="Y734" s="213"/>
      <c r="Z734" s="213"/>
      <c r="AA734" s="213"/>
      <c r="AB734" s="213"/>
      <c r="AC734" s="213"/>
      <c r="AD734" s="213"/>
    </row>
    <row r="735" ht="15.75" customHeight="1">
      <c r="A735" s="257"/>
      <c r="B735" s="213"/>
      <c r="C735" s="213"/>
      <c r="D735" s="213"/>
      <c r="E735" s="213"/>
      <c r="F735" s="213"/>
      <c r="G735" s="213"/>
      <c r="H735" s="213"/>
      <c r="I735" s="213"/>
      <c r="J735" s="213"/>
      <c r="K735" s="213"/>
      <c r="L735" s="213"/>
      <c r="M735" s="213"/>
      <c r="N735" s="213"/>
      <c r="O735" s="213"/>
      <c r="P735" s="213"/>
      <c r="Q735" s="213"/>
      <c r="R735" s="213"/>
      <c r="S735" s="213"/>
      <c r="T735" s="213"/>
      <c r="U735" s="213"/>
      <c r="V735" s="213"/>
      <c r="W735" s="213"/>
      <c r="X735" s="213"/>
      <c r="Y735" s="213"/>
      <c r="Z735" s="213"/>
      <c r="AA735" s="213"/>
      <c r="AB735" s="213"/>
      <c r="AC735" s="213"/>
      <c r="AD735" s="213"/>
    </row>
    <row r="736" ht="15.75" customHeight="1">
      <c r="A736" s="257"/>
      <c r="B736" s="213"/>
      <c r="C736" s="213"/>
      <c r="D736" s="213"/>
      <c r="E736" s="213"/>
      <c r="F736" s="213"/>
      <c r="G736" s="213"/>
      <c r="H736" s="213"/>
      <c r="I736" s="213"/>
      <c r="J736" s="213"/>
      <c r="K736" s="213"/>
      <c r="L736" s="213"/>
      <c r="M736" s="213"/>
      <c r="N736" s="213"/>
      <c r="O736" s="213"/>
      <c r="P736" s="213"/>
      <c r="Q736" s="213"/>
      <c r="R736" s="213"/>
      <c r="S736" s="213"/>
      <c r="T736" s="213"/>
      <c r="U736" s="213"/>
      <c r="V736" s="213"/>
      <c r="W736" s="213"/>
      <c r="X736" s="213"/>
      <c r="Y736" s="213"/>
      <c r="Z736" s="213"/>
      <c r="AA736" s="213"/>
      <c r="AB736" s="213"/>
      <c r="AC736" s="213"/>
      <c r="AD736" s="213"/>
    </row>
    <row r="737" ht="15.75" customHeight="1">
      <c r="A737" s="257"/>
      <c r="B737" s="213"/>
      <c r="C737" s="213"/>
      <c r="D737" s="213"/>
      <c r="E737" s="213"/>
      <c r="F737" s="213"/>
      <c r="G737" s="213"/>
      <c r="H737" s="213"/>
      <c r="I737" s="213"/>
      <c r="J737" s="213"/>
      <c r="K737" s="213"/>
      <c r="L737" s="213"/>
      <c r="M737" s="213"/>
      <c r="N737" s="213"/>
      <c r="O737" s="213"/>
      <c r="P737" s="213"/>
      <c r="Q737" s="213"/>
      <c r="R737" s="213"/>
      <c r="S737" s="213"/>
      <c r="T737" s="213"/>
      <c r="U737" s="213"/>
      <c r="V737" s="213"/>
      <c r="W737" s="213"/>
      <c r="X737" s="213"/>
      <c r="Y737" s="213"/>
      <c r="Z737" s="213"/>
      <c r="AA737" s="213"/>
      <c r="AB737" s="213"/>
      <c r="AC737" s="213"/>
      <c r="AD737" s="213"/>
    </row>
    <row r="738" ht="15.75" customHeight="1">
      <c r="A738" s="257"/>
      <c r="B738" s="213"/>
      <c r="C738" s="213"/>
      <c r="D738" s="213"/>
      <c r="E738" s="213"/>
      <c r="F738" s="213"/>
      <c r="G738" s="213"/>
      <c r="H738" s="213"/>
      <c r="I738" s="213"/>
      <c r="J738" s="213"/>
      <c r="K738" s="213"/>
      <c r="L738" s="213"/>
      <c r="M738" s="213"/>
      <c r="N738" s="213"/>
      <c r="O738" s="213"/>
      <c r="P738" s="213"/>
      <c r="Q738" s="213"/>
      <c r="R738" s="213"/>
      <c r="S738" s="213"/>
      <c r="T738" s="213"/>
      <c r="U738" s="213"/>
      <c r="V738" s="213"/>
      <c r="W738" s="213"/>
      <c r="X738" s="213"/>
      <c r="Y738" s="213"/>
      <c r="Z738" s="213"/>
      <c r="AA738" s="213"/>
      <c r="AB738" s="213"/>
      <c r="AC738" s="213"/>
      <c r="AD738" s="213"/>
    </row>
    <row r="739" ht="15.75" customHeight="1">
      <c r="A739" s="257"/>
      <c r="B739" s="213"/>
      <c r="C739" s="213"/>
      <c r="D739" s="213"/>
      <c r="E739" s="213"/>
      <c r="F739" s="213"/>
      <c r="G739" s="213"/>
      <c r="H739" s="213"/>
      <c r="I739" s="213"/>
      <c r="J739" s="213"/>
      <c r="K739" s="213"/>
      <c r="L739" s="213"/>
      <c r="M739" s="213"/>
      <c r="N739" s="213"/>
      <c r="O739" s="213"/>
      <c r="P739" s="213"/>
      <c r="Q739" s="213"/>
      <c r="R739" s="213"/>
      <c r="S739" s="213"/>
      <c r="T739" s="213"/>
      <c r="U739" s="213"/>
      <c r="V739" s="213"/>
      <c r="W739" s="213"/>
      <c r="X739" s="213"/>
      <c r="Y739" s="213"/>
      <c r="Z739" s="213"/>
      <c r="AA739" s="213"/>
      <c r="AB739" s="213"/>
      <c r="AC739" s="213"/>
      <c r="AD739" s="213"/>
    </row>
    <row r="740" ht="15.75" customHeight="1">
      <c r="A740" s="257"/>
      <c r="B740" s="213"/>
      <c r="C740" s="213"/>
      <c r="D740" s="213"/>
      <c r="E740" s="213"/>
      <c r="F740" s="213"/>
      <c r="G740" s="213"/>
      <c r="H740" s="213"/>
      <c r="I740" s="213"/>
      <c r="J740" s="213"/>
      <c r="K740" s="213"/>
      <c r="L740" s="213"/>
      <c r="M740" s="213"/>
      <c r="N740" s="213"/>
      <c r="O740" s="213"/>
      <c r="P740" s="213"/>
      <c r="Q740" s="213"/>
      <c r="R740" s="213"/>
      <c r="S740" s="213"/>
      <c r="T740" s="213"/>
      <c r="U740" s="213"/>
      <c r="V740" s="213"/>
      <c r="W740" s="213"/>
      <c r="X740" s="213"/>
      <c r="Y740" s="213"/>
      <c r="Z740" s="213"/>
      <c r="AA740" s="213"/>
      <c r="AB740" s="213"/>
      <c r="AC740" s="213"/>
      <c r="AD740" s="213"/>
    </row>
    <row r="741" ht="15.75" customHeight="1">
      <c r="A741" s="257"/>
      <c r="B741" s="213"/>
      <c r="C741" s="213"/>
      <c r="D741" s="213"/>
      <c r="E741" s="213"/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  <c r="Q741" s="213"/>
      <c r="R741" s="213"/>
      <c r="S741" s="213"/>
      <c r="T741" s="213"/>
      <c r="U741" s="213"/>
      <c r="V741" s="213"/>
      <c r="W741" s="213"/>
      <c r="X741" s="213"/>
      <c r="Y741" s="213"/>
      <c r="Z741" s="213"/>
      <c r="AA741" s="213"/>
      <c r="AB741" s="213"/>
      <c r="AC741" s="213"/>
      <c r="AD741" s="213"/>
    </row>
    <row r="742" ht="15.75" customHeight="1">
      <c r="A742" s="257"/>
      <c r="B742" s="213"/>
      <c r="C742" s="213"/>
      <c r="D742" s="213"/>
      <c r="E742" s="213"/>
      <c r="F742" s="213"/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  <c r="Q742" s="213"/>
      <c r="R742" s="213"/>
      <c r="S742" s="213"/>
      <c r="T742" s="213"/>
      <c r="U742" s="213"/>
      <c r="V742" s="213"/>
      <c r="W742" s="213"/>
      <c r="X742" s="213"/>
      <c r="Y742" s="213"/>
      <c r="Z742" s="213"/>
      <c r="AA742" s="213"/>
      <c r="AB742" s="213"/>
      <c r="AC742" s="213"/>
      <c r="AD742" s="213"/>
    </row>
    <row r="743" ht="15.75" customHeight="1">
      <c r="A743" s="257"/>
      <c r="B743" s="213"/>
      <c r="C743" s="213"/>
      <c r="D743" s="213"/>
      <c r="E743" s="213"/>
      <c r="F743" s="213"/>
      <c r="G743" s="213"/>
      <c r="H743" s="213"/>
      <c r="I743" s="213"/>
      <c r="J743" s="213"/>
      <c r="K743" s="213"/>
      <c r="L743" s="213"/>
      <c r="M743" s="213"/>
      <c r="N743" s="213"/>
      <c r="O743" s="213"/>
      <c r="P743" s="213"/>
      <c r="Q743" s="213"/>
      <c r="R743" s="213"/>
      <c r="S743" s="213"/>
      <c r="T743" s="213"/>
      <c r="U743" s="213"/>
      <c r="V743" s="213"/>
      <c r="W743" s="213"/>
      <c r="X743" s="213"/>
      <c r="Y743" s="213"/>
      <c r="Z743" s="213"/>
      <c r="AA743" s="213"/>
      <c r="AB743" s="213"/>
      <c r="AC743" s="213"/>
      <c r="AD743" s="213"/>
    </row>
    <row r="744" ht="15.75" customHeight="1">
      <c r="A744" s="257"/>
      <c r="B744" s="213"/>
      <c r="C744" s="213"/>
      <c r="D744" s="213"/>
      <c r="E744" s="213"/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  <c r="Q744" s="213"/>
      <c r="R744" s="213"/>
      <c r="S744" s="213"/>
      <c r="T744" s="213"/>
      <c r="U744" s="213"/>
      <c r="V744" s="213"/>
      <c r="W744" s="213"/>
      <c r="X744" s="213"/>
      <c r="Y744" s="213"/>
      <c r="Z744" s="213"/>
      <c r="AA744" s="213"/>
      <c r="AB744" s="213"/>
      <c r="AC744" s="213"/>
      <c r="AD744" s="213"/>
    </row>
    <row r="745" ht="15.75" customHeight="1">
      <c r="A745" s="257"/>
      <c r="B745" s="213"/>
      <c r="C745" s="213"/>
      <c r="D745" s="213"/>
      <c r="E745" s="213"/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  <c r="Q745" s="213"/>
      <c r="R745" s="213"/>
      <c r="S745" s="213"/>
      <c r="T745" s="213"/>
      <c r="U745" s="213"/>
      <c r="V745" s="213"/>
      <c r="W745" s="213"/>
      <c r="X745" s="213"/>
      <c r="Y745" s="213"/>
      <c r="Z745" s="213"/>
      <c r="AA745" s="213"/>
      <c r="AB745" s="213"/>
      <c r="AC745" s="213"/>
      <c r="AD745" s="213"/>
    </row>
    <row r="746" ht="15.75" customHeight="1">
      <c r="A746" s="257"/>
      <c r="B746" s="213"/>
      <c r="C746" s="213"/>
      <c r="D746" s="213"/>
      <c r="E746" s="213"/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  <c r="Q746" s="213"/>
      <c r="R746" s="213"/>
      <c r="S746" s="213"/>
      <c r="T746" s="213"/>
      <c r="U746" s="213"/>
      <c r="V746" s="213"/>
      <c r="W746" s="213"/>
      <c r="X746" s="213"/>
      <c r="Y746" s="213"/>
      <c r="Z746" s="213"/>
      <c r="AA746" s="213"/>
      <c r="AB746" s="213"/>
      <c r="AC746" s="213"/>
      <c r="AD746" s="213"/>
    </row>
    <row r="747" ht="15.75" customHeight="1">
      <c r="A747" s="257"/>
      <c r="B747" s="213"/>
      <c r="C747" s="213"/>
      <c r="D747" s="213"/>
      <c r="E747" s="213"/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  <c r="Q747" s="213"/>
      <c r="R747" s="213"/>
      <c r="S747" s="213"/>
      <c r="T747" s="213"/>
      <c r="U747" s="213"/>
      <c r="V747" s="213"/>
      <c r="W747" s="213"/>
      <c r="X747" s="213"/>
      <c r="Y747" s="213"/>
      <c r="Z747" s="213"/>
      <c r="AA747" s="213"/>
      <c r="AB747" s="213"/>
      <c r="AC747" s="213"/>
      <c r="AD747" s="213"/>
    </row>
    <row r="748" ht="15.75" customHeight="1">
      <c r="A748" s="257"/>
      <c r="B748" s="213"/>
      <c r="C748" s="213"/>
      <c r="D748" s="213"/>
      <c r="E748" s="213"/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13"/>
      <c r="S748" s="213"/>
      <c r="T748" s="213"/>
      <c r="U748" s="213"/>
      <c r="V748" s="213"/>
      <c r="W748" s="213"/>
      <c r="X748" s="213"/>
      <c r="Y748" s="213"/>
      <c r="Z748" s="213"/>
      <c r="AA748" s="213"/>
      <c r="AB748" s="213"/>
      <c r="AC748" s="213"/>
      <c r="AD748" s="213"/>
    </row>
    <row r="749" ht="15.75" customHeight="1">
      <c r="A749" s="257"/>
      <c r="B749" s="213"/>
      <c r="C749" s="213"/>
      <c r="D749" s="213"/>
      <c r="E749" s="213"/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13"/>
      <c r="S749" s="213"/>
      <c r="T749" s="213"/>
      <c r="U749" s="213"/>
      <c r="V749" s="213"/>
      <c r="W749" s="213"/>
      <c r="X749" s="213"/>
      <c r="Y749" s="213"/>
      <c r="Z749" s="213"/>
      <c r="AA749" s="213"/>
      <c r="AB749" s="213"/>
      <c r="AC749" s="213"/>
      <c r="AD749" s="213"/>
    </row>
    <row r="750" ht="15.75" customHeight="1">
      <c r="A750" s="257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  <c r="Q750" s="213"/>
      <c r="R750" s="213"/>
      <c r="S750" s="213"/>
      <c r="T750" s="213"/>
      <c r="U750" s="213"/>
      <c r="V750" s="213"/>
      <c r="W750" s="213"/>
      <c r="X750" s="213"/>
      <c r="Y750" s="213"/>
      <c r="Z750" s="213"/>
      <c r="AA750" s="213"/>
      <c r="AB750" s="213"/>
      <c r="AC750" s="213"/>
      <c r="AD750" s="213"/>
    </row>
    <row r="751" ht="15.75" customHeight="1">
      <c r="A751" s="257"/>
      <c r="B751" s="213"/>
      <c r="C751" s="213"/>
      <c r="D751" s="213"/>
      <c r="E751" s="213"/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  <c r="S751" s="213"/>
      <c r="T751" s="213"/>
      <c r="U751" s="213"/>
      <c r="V751" s="213"/>
      <c r="W751" s="213"/>
      <c r="X751" s="213"/>
      <c r="Y751" s="213"/>
      <c r="Z751" s="213"/>
      <c r="AA751" s="213"/>
      <c r="AB751" s="213"/>
      <c r="AC751" s="213"/>
      <c r="AD751" s="213"/>
    </row>
    <row r="752" ht="15.75" customHeight="1">
      <c r="A752" s="257"/>
      <c r="B752" s="213"/>
      <c r="C752" s="213"/>
      <c r="D752" s="213"/>
      <c r="E752" s="213"/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  <c r="Q752" s="213"/>
      <c r="R752" s="213"/>
      <c r="S752" s="213"/>
      <c r="T752" s="213"/>
      <c r="U752" s="213"/>
      <c r="V752" s="213"/>
      <c r="W752" s="213"/>
      <c r="X752" s="213"/>
      <c r="Y752" s="213"/>
      <c r="Z752" s="213"/>
      <c r="AA752" s="213"/>
      <c r="AB752" s="213"/>
      <c r="AC752" s="213"/>
      <c r="AD752" s="213"/>
    </row>
    <row r="753" ht="15.75" customHeight="1">
      <c r="A753" s="257"/>
      <c r="B753" s="213"/>
      <c r="C753" s="213"/>
      <c r="D753" s="213"/>
      <c r="E753" s="213"/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  <c r="Q753" s="213"/>
      <c r="R753" s="213"/>
      <c r="S753" s="213"/>
      <c r="T753" s="213"/>
      <c r="U753" s="213"/>
      <c r="V753" s="213"/>
      <c r="W753" s="213"/>
      <c r="X753" s="213"/>
      <c r="Y753" s="213"/>
      <c r="Z753" s="213"/>
      <c r="AA753" s="213"/>
      <c r="AB753" s="213"/>
      <c r="AC753" s="213"/>
      <c r="AD753" s="213"/>
    </row>
    <row r="754" ht="15.75" customHeight="1">
      <c r="A754" s="257"/>
      <c r="B754" s="213"/>
      <c r="C754" s="213"/>
      <c r="D754" s="213"/>
      <c r="E754" s="213"/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  <c r="Q754" s="213"/>
      <c r="R754" s="213"/>
      <c r="S754" s="213"/>
      <c r="T754" s="213"/>
      <c r="U754" s="213"/>
      <c r="V754" s="213"/>
      <c r="W754" s="213"/>
      <c r="X754" s="213"/>
      <c r="Y754" s="213"/>
      <c r="Z754" s="213"/>
      <c r="AA754" s="213"/>
      <c r="AB754" s="213"/>
      <c r="AC754" s="213"/>
      <c r="AD754" s="213"/>
    </row>
    <row r="755" ht="15.75" customHeight="1">
      <c r="A755" s="257"/>
      <c r="B755" s="213"/>
      <c r="C755" s="213"/>
      <c r="D755" s="213"/>
      <c r="E755" s="213"/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  <c r="Q755" s="213"/>
      <c r="R755" s="213"/>
      <c r="S755" s="213"/>
      <c r="T755" s="213"/>
      <c r="U755" s="213"/>
      <c r="V755" s="213"/>
      <c r="W755" s="213"/>
      <c r="X755" s="213"/>
      <c r="Y755" s="213"/>
      <c r="Z755" s="213"/>
      <c r="AA755" s="213"/>
      <c r="AB755" s="213"/>
      <c r="AC755" s="213"/>
      <c r="AD755" s="213"/>
    </row>
    <row r="756" ht="15.75" customHeight="1">
      <c r="A756" s="257"/>
      <c r="B756" s="213"/>
      <c r="C756" s="213"/>
      <c r="D756" s="213"/>
      <c r="E756" s="213"/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  <c r="Q756" s="213"/>
      <c r="R756" s="213"/>
      <c r="S756" s="213"/>
      <c r="T756" s="213"/>
      <c r="U756" s="213"/>
      <c r="V756" s="213"/>
      <c r="W756" s="213"/>
      <c r="X756" s="213"/>
      <c r="Y756" s="213"/>
      <c r="Z756" s="213"/>
      <c r="AA756" s="213"/>
      <c r="AB756" s="213"/>
      <c r="AC756" s="213"/>
      <c r="AD756" s="213"/>
    </row>
    <row r="757" ht="15.75" customHeight="1">
      <c r="A757" s="257"/>
      <c r="B757" s="213"/>
      <c r="C757" s="213"/>
      <c r="D757" s="213"/>
      <c r="E757" s="213"/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  <c r="Q757" s="213"/>
      <c r="R757" s="213"/>
      <c r="S757" s="213"/>
      <c r="T757" s="213"/>
      <c r="U757" s="213"/>
      <c r="V757" s="213"/>
      <c r="W757" s="213"/>
      <c r="X757" s="213"/>
      <c r="Y757" s="213"/>
      <c r="Z757" s="213"/>
      <c r="AA757" s="213"/>
      <c r="AB757" s="213"/>
      <c r="AC757" s="213"/>
      <c r="AD757" s="213"/>
    </row>
    <row r="758" ht="15.75" customHeight="1">
      <c r="A758" s="257"/>
      <c r="B758" s="213"/>
      <c r="C758" s="213"/>
      <c r="D758" s="213"/>
      <c r="E758" s="213"/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  <c r="Q758" s="213"/>
      <c r="R758" s="213"/>
      <c r="S758" s="213"/>
      <c r="T758" s="213"/>
      <c r="U758" s="213"/>
      <c r="V758" s="213"/>
      <c r="W758" s="213"/>
      <c r="X758" s="213"/>
      <c r="Y758" s="213"/>
      <c r="Z758" s="213"/>
      <c r="AA758" s="213"/>
      <c r="AB758" s="213"/>
      <c r="AC758" s="213"/>
      <c r="AD758" s="213"/>
    </row>
    <row r="759" ht="15.75" customHeight="1">
      <c r="A759" s="257"/>
      <c r="B759" s="213"/>
      <c r="C759" s="213"/>
      <c r="D759" s="213"/>
      <c r="E759" s="213"/>
      <c r="F759" s="213"/>
      <c r="G759" s="213"/>
      <c r="H759" s="213"/>
      <c r="I759" s="213"/>
      <c r="J759" s="213"/>
      <c r="K759" s="213"/>
      <c r="L759" s="213"/>
      <c r="M759" s="213"/>
      <c r="N759" s="213"/>
      <c r="O759" s="213"/>
      <c r="P759" s="213"/>
      <c r="Q759" s="213"/>
      <c r="R759" s="213"/>
      <c r="S759" s="213"/>
      <c r="T759" s="213"/>
      <c r="U759" s="213"/>
      <c r="V759" s="213"/>
      <c r="W759" s="213"/>
      <c r="X759" s="213"/>
      <c r="Y759" s="213"/>
      <c r="Z759" s="213"/>
      <c r="AA759" s="213"/>
      <c r="AB759" s="213"/>
      <c r="AC759" s="213"/>
      <c r="AD759" s="213"/>
    </row>
    <row r="760" ht="15.75" customHeight="1">
      <c r="A760" s="257"/>
      <c r="B760" s="213"/>
      <c r="C760" s="213"/>
      <c r="D760" s="213"/>
      <c r="E760" s="213"/>
      <c r="F760" s="213"/>
      <c r="G760" s="213"/>
      <c r="H760" s="213"/>
      <c r="I760" s="213"/>
      <c r="J760" s="213"/>
      <c r="K760" s="213"/>
      <c r="L760" s="213"/>
      <c r="M760" s="213"/>
      <c r="N760" s="213"/>
      <c r="O760" s="213"/>
      <c r="P760" s="213"/>
      <c r="Q760" s="213"/>
      <c r="R760" s="213"/>
      <c r="S760" s="213"/>
      <c r="T760" s="213"/>
      <c r="U760" s="213"/>
      <c r="V760" s="213"/>
      <c r="W760" s="213"/>
      <c r="X760" s="213"/>
      <c r="Y760" s="213"/>
      <c r="Z760" s="213"/>
      <c r="AA760" s="213"/>
      <c r="AB760" s="213"/>
      <c r="AC760" s="213"/>
      <c r="AD760" s="213"/>
    </row>
    <row r="761" ht="15.75" customHeight="1">
      <c r="A761" s="257"/>
      <c r="B761" s="213"/>
      <c r="C761" s="213"/>
      <c r="D761" s="213"/>
      <c r="E761" s="213"/>
      <c r="F761" s="213"/>
      <c r="G761" s="213"/>
      <c r="H761" s="213"/>
      <c r="I761" s="213"/>
      <c r="J761" s="213"/>
      <c r="K761" s="213"/>
      <c r="L761" s="213"/>
      <c r="M761" s="213"/>
      <c r="N761" s="213"/>
      <c r="O761" s="213"/>
      <c r="P761" s="213"/>
      <c r="Q761" s="213"/>
      <c r="R761" s="213"/>
      <c r="S761" s="213"/>
      <c r="T761" s="213"/>
      <c r="U761" s="213"/>
      <c r="V761" s="213"/>
      <c r="W761" s="213"/>
      <c r="X761" s="213"/>
      <c r="Y761" s="213"/>
      <c r="Z761" s="213"/>
      <c r="AA761" s="213"/>
      <c r="AB761" s="213"/>
      <c r="AC761" s="213"/>
      <c r="AD761" s="213"/>
    </row>
    <row r="762" ht="15.75" customHeight="1">
      <c r="A762" s="257"/>
      <c r="B762" s="213"/>
      <c r="C762" s="213"/>
      <c r="D762" s="213"/>
      <c r="E762" s="213"/>
      <c r="F762" s="213"/>
      <c r="G762" s="213"/>
      <c r="H762" s="213"/>
      <c r="I762" s="213"/>
      <c r="J762" s="213"/>
      <c r="K762" s="213"/>
      <c r="L762" s="213"/>
      <c r="M762" s="213"/>
      <c r="N762" s="213"/>
      <c r="O762" s="213"/>
      <c r="P762" s="213"/>
      <c r="Q762" s="213"/>
      <c r="R762" s="213"/>
      <c r="S762" s="213"/>
      <c r="T762" s="213"/>
      <c r="U762" s="213"/>
      <c r="V762" s="213"/>
      <c r="W762" s="213"/>
      <c r="X762" s="213"/>
      <c r="Y762" s="213"/>
      <c r="Z762" s="213"/>
      <c r="AA762" s="213"/>
      <c r="AB762" s="213"/>
      <c r="AC762" s="213"/>
      <c r="AD762" s="213"/>
    </row>
    <row r="763" ht="15.75" customHeight="1">
      <c r="A763" s="257"/>
      <c r="B763" s="213"/>
      <c r="C763" s="213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  <c r="Q763" s="213"/>
      <c r="R763" s="213"/>
      <c r="S763" s="213"/>
      <c r="T763" s="213"/>
      <c r="U763" s="213"/>
      <c r="V763" s="213"/>
      <c r="W763" s="213"/>
      <c r="X763" s="213"/>
      <c r="Y763" s="213"/>
      <c r="Z763" s="213"/>
      <c r="AA763" s="213"/>
      <c r="AB763" s="213"/>
      <c r="AC763" s="213"/>
      <c r="AD763" s="213"/>
    </row>
    <row r="764" ht="15.75" customHeight="1">
      <c r="A764" s="257"/>
      <c r="B764" s="213"/>
      <c r="C764" s="213"/>
      <c r="D764" s="213"/>
      <c r="E764" s="213"/>
      <c r="F764" s="213"/>
      <c r="G764" s="213"/>
      <c r="H764" s="213"/>
      <c r="I764" s="213"/>
      <c r="J764" s="213"/>
      <c r="K764" s="213"/>
      <c r="L764" s="213"/>
      <c r="M764" s="213"/>
      <c r="N764" s="213"/>
      <c r="O764" s="213"/>
      <c r="P764" s="213"/>
      <c r="Q764" s="213"/>
      <c r="R764" s="213"/>
      <c r="S764" s="213"/>
      <c r="T764" s="213"/>
      <c r="U764" s="213"/>
      <c r="V764" s="213"/>
      <c r="W764" s="213"/>
      <c r="X764" s="213"/>
      <c r="Y764" s="213"/>
      <c r="Z764" s="213"/>
      <c r="AA764" s="213"/>
      <c r="AB764" s="213"/>
      <c r="AC764" s="213"/>
      <c r="AD764" s="213"/>
    </row>
    <row r="765" ht="15.75" customHeight="1">
      <c r="A765" s="257"/>
      <c r="B765" s="213"/>
      <c r="C765" s="213"/>
      <c r="D765" s="213"/>
      <c r="E765" s="213"/>
      <c r="F765" s="213"/>
      <c r="G765" s="213"/>
      <c r="H765" s="213"/>
      <c r="I765" s="213"/>
      <c r="J765" s="213"/>
      <c r="K765" s="213"/>
      <c r="L765" s="213"/>
      <c r="M765" s="213"/>
      <c r="N765" s="213"/>
      <c r="O765" s="213"/>
      <c r="P765" s="213"/>
      <c r="Q765" s="213"/>
      <c r="R765" s="213"/>
      <c r="S765" s="213"/>
      <c r="T765" s="213"/>
      <c r="U765" s="213"/>
      <c r="V765" s="213"/>
      <c r="W765" s="213"/>
      <c r="X765" s="213"/>
      <c r="Y765" s="213"/>
      <c r="Z765" s="213"/>
      <c r="AA765" s="213"/>
      <c r="AB765" s="213"/>
      <c r="AC765" s="213"/>
      <c r="AD765" s="213"/>
    </row>
    <row r="766" ht="15.75" customHeight="1">
      <c r="A766" s="257"/>
      <c r="B766" s="213"/>
      <c r="C766" s="213"/>
      <c r="D766" s="213"/>
      <c r="E766" s="213"/>
      <c r="F766" s="213"/>
      <c r="G766" s="213"/>
      <c r="H766" s="213"/>
      <c r="I766" s="213"/>
      <c r="J766" s="213"/>
      <c r="K766" s="213"/>
      <c r="L766" s="213"/>
      <c r="M766" s="213"/>
      <c r="N766" s="213"/>
      <c r="O766" s="213"/>
      <c r="P766" s="213"/>
      <c r="Q766" s="213"/>
      <c r="R766" s="213"/>
      <c r="S766" s="213"/>
      <c r="T766" s="213"/>
      <c r="U766" s="213"/>
      <c r="V766" s="213"/>
      <c r="W766" s="213"/>
      <c r="X766" s="213"/>
      <c r="Y766" s="213"/>
      <c r="Z766" s="213"/>
      <c r="AA766" s="213"/>
      <c r="AB766" s="213"/>
      <c r="AC766" s="213"/>
      <c r="AD766" s="213"/>
    </row>
    <row r="767" ht="15.75" customHeight="1">
      <c r="A767" s="257"/>
      <c r="B767" s="213"/>
      <c r="C767" s="213"/>
      <c r="D767" s="213"/>
      <c r="E767" s="213"/>
      <c r="F767" s="213"/>
      <c r="G767" s="213"/>
      <c r="H767" s="213"/>
      <c r="I767" s="213"/>
      <c r="J767" s="213"/>
      <c r="K767" s="213"/>
      <c r="L767" s="213"/>
      <c r="M767" s="213"/>
      <c r="N767" s="213"/>
      <c r="O767" s="213"/>
      <c r="P767" s="213"/>
      <c r="Q767" s="213"/>
      <c r="R767" s="213"/>
      <c r="S767" s="213"/>
      <c r="T767" s="213"/>
      <c r="U767" s="213"/>
      <c r="V767" s="213"/>
      <c r="W767" s="213"/>
      <c r="X767" s="213"/>
      <c r="Y767" s="213"/>
      <c r="Z767" s="213"/>
      <c r="AA767" s="213"/>
      <c r="AB767" s="213"/>
      <c r="AC767" s="213"/>
      <c r="AD767" s="213"/>
    </row>
    <row r="768" ht="15.75" customHeight="1">
      <c r="A768" s="257"/>
      <c r="B768" s="213"/>
      <c r="C768" s="213"/>
      <c r="D768" s="213"/>
      <c r="E768" s="213"/>
      <c r="F768" s="213"/>
      <c r="G768" s="213"/>
      <c r="H768" s="213"/>
      <c r="I768" s="213"/>
      <c r="J768" s="213"/>
      <c r="K768" s="213"/>
      <c r="L768" s="213"/>
      <c r="M768" s="213"/>
      <c r="N768" s="213"/>
      <c r="O768" s="213"/>
      <c r="P768" s="213"/>
      <c r="Q768" s="213"/>
      <c r="R768" s="213"/>
      <c r="S768" s="213"/>
      <c r="T768" s="213"/>
      <c r="U768" s="213"/>
      <c r="V768" s="213"/>
      <c r="W768" s="213"/>
      <c r="X768" s="213"/>
      <c r="Y768" s="213"/>
      <c r="Z768" s="213"/>
      <c r="AA768" s="213"/>
      <c r="AB768" s="213"/>
      <c r="AC768" s="213"/>
      <c r="AD768" s="213"/>
    </row>
    <row r="769" ht="15.75" customHeight="1">
      <c r="A769" s="257"/>
      <c r="B769" s="213"/>
      <c r="C769" s="213"/>
      <c r="D769" s="213"/>
      <c r="E769" s="213"/>
      <c r="F769" s="213"/>
      <c r="G769" s="213"/>
      <c r="H769" s="213"/>
      <c r="I769" s="213"/>
      <c r="J769" s="213"/>
      <c r="K769" s="213"/>
      <c r="L769" s="213"/>
      <c r="M769" s="213"/>
      <c r="N769" s="213"/>
      <c r="O769" s="213"/>
      <c r="P769" s="213"/>
      <c r="Q769" s="213"/>
      <c r="R769" s="213"/>
      <c r="S769" s="213"/>
      <c r="T769" s="213"/>
      <c r="U769" s="213"/>
      <c r="V769" s="213"/>
      <c r="W769" s="213"/>
      <c r="X769" s="213"/>
      <c r="Y769" s="213"/>
      <c r="Z769" s="213"/>
      <c r="AA769" s="213"/>
      <c r="AB769" s="213"/>
      <c r="AC769" s="213"/>
      <c r="AD769" s="213"/>
    </row>
    <row r="770" ht="15.75" customHeight="1">
      <c r="A770" s="257"/>
      <c r="B770" s="213"/>
      <c r="C770" s="213"/>
      <c r="D770" s="213"/>
      <c r="E770" s="213"/>
      <c r="F770" s="213"/>
      <c r="G770" s="213"/>
      <c r="H770" s="213"/>
      <c r="I770" s="213"/>
      <c r="J770" s="213"/>
      <c r="K770" s="213"/>
      <c r="L770" s="213"/>
      <c r="M770" s="213"/>
      <c r="N770" s="213"/>
      <c r="O770" s="213"/>
      <c r="P770" s="213"/>
      <c r="Q770" s="213"/>
      <c r="R770" s="213"/>
      <c r="S770" s="213"/>
      <c r="T770" s="213"/>
      <c r="U770" s="213"/>
      <c r="V770" s="213"/>
      <c r="W770" s="213"/>
      <c r="X770" s="213"/>
      <c r="Y770" s="213"/>
      <c r="Z770" s="213"/>
      <c r="AA770" s="213"/>
      <c r="AB770" s="213"/>
      <c r="AC770" s="213"/>
      <c r="AD770" s="213"/>
    </row>
    <row r="771" ht="15.75" customHeight="1">
      <c r="A771" s="257"/>
      <c r="B771" s="213"/>
      <c r="C771" s="213"/>
      <c r="D771" s="213"/>
      <c r="E771" s="213"/>
      <c r="F771" s="213"/>
      <c r="G771" s="213"/>
      <c r="H771" s="213"/>
      <c r="I771" s="213"/>
      <c r="J771" s="213"/>
      <c r="K771" s="213"/>
      <c r="L771" s="213"/>
      <c r="M771" s="213"/>
      <c r="N771" s="213"/>
      <c r="O771" s="213"/>
      <c r="P771" s="213"/>
      <c r="Q771" s="213"/>
      <c r="R771" s="213"/>
      <c r="S771" s="213"/>
      <c r="T771" s="213"/>
      <c r="U771" s="213"/>
      <c r="V771" s="213"/>
      <c r="W771" s="213"/>
      <c r="X771" s="213"/>
      <c r="Y771" s="213"/>
      <c r="Z771" s="213"/>
      <c r="AA771" s="213"/>
      <c r="AB771" s="213"/>
      <c r="AC771" s="213"/>
      <c r="AD771" s="213"/>
    </row>
    <row r="772" ht="15.75" customHeight="1">
      <c r="A772" s="257"/>
      <c r="B772" s="213"/>
      <c r="C772" s="213"/>
      <c r="D772" s="213"/>
      <c r="E772" s="213"/>
      <c r="F772" s="213"/>
      <c r="G772" s="213"/>
      <c r="H772" s="213"/>
      <c r="I772" s="213"/>
      <c r="J772" s="213"/>
      <c r="K772" s="213"/>
      <c r="L772" s="213"/>
      <c r="M772" s="213"/>
      <c r="N772" s="213"/>
      <c r="O772" s="213"/>
      <c r="P772" s="213"/>
      <c r="Q772" s="213"/>
      <c r="R772" s="213"/>
      <c r="S772" s="213"/>
      <c r="T772" s="213"/>
      <c r="U772" s="213"/>
      <c r="V772" s="213"/>
      <c r="W772" s="213"/>
      <c r="X772" s="213"/>
      <c r="Y772" s="213"/>
      <c r="Z772" s="213"/>
      <c r="AA772" s="213"/>
      <c r="AB772" s="213"/>
      <c r="AC772" s="213"/>
      <c r="AD772" s="213"/>
    </row>
    <row r="773" ht="15.75" customHeight="1">
      <c r="A773" s="257"/>
      <c r="B773" s="213"/>
      <c r="C773" s="213"/>
      <c r="D773" s="213"/>
      <c r="E773" s="213"/>
      <c r="F773" s="213"/>
      <c r="G773" s="213"/>
      <c r="H773" s="213"/>
      <c r="I773" s="213"/>
      <c r="J773" s="213"/>
      <c r="K773" s="213"/>
      <c r="L773" s="213"/>
      <c r="M773" s="213"/>
      <c r="N773" s="213"/>
      <c r="O773" s="213"/>
      <c r="P773" s="213"/>
      <c r="Q773" s="213"/>
      <c r="R773" s="213"/>
      <c r="S773" s="213"/>
      <c r="T773" s="213"/>
      <c r="U773" s="213"/>
      <c r="V773" s="213"/>
      <c r="W773" s="213"/>
      <c r="X773" s="213"/>
      <c r="Y773" s="213"/>
      <c r="Z773" s="213"/>
      <c r="AA773" s="213"/>
      <c r="AB773" s="213"/>
      <c r="AC773" s="213"/>
      <c r="AD773" s="213"/>
    </row>
    <row r="774" ht="15.75" customHeight="1">
      <c r="A774" s="257"/>
      <c r="B774" s="213"/>
      <c r="C774" s="213"/>
      <c r="D774" s="213"/>
      <c r="E774" s="213"/>
      <c r="F774" s="213"/>
      <c r="G774" s="213"/>
      <c r="H774" s="213"/>
      <c r="I774" s="213"/>
      <c r="J774" s="213"/>
      <c r="K774" s="213"/>
      <c r="L774" s="213"/>
      <c r="M774" s="213"/>
      <c r="N774" s="213"/>
      <c r="O774" s="213"/>
      <c r="P774" s="213"/>
      <c r="Q774" s="213"/>
      <c r="R774" s="213"/>
      <c r="S774" s="213"/>
      <c r="T774" s="213"/>
      <c r="U774" s="213"/>
      <c r="V774" s="213"/>
      <c r="W774" s="213"/>
      <c r="X774" s="213"/>
      <c r="Y774" s="213"/>
      <c r="Z774" s="213"/>
      <c r="AA774" s="213"/>
      <c r="AB774" s="213"/>
      <c r="AC774" s="213"/>
      <c r="AD774" s="213"/>
    </row>
    <row r="775" ht="15.75" customHeight="1">
      <c r="A775" s="257"/>
      <c r="B775" s="213"/>
      <c r="C775" s="213"/>
      <c r="D775" s="213"/>
      <c r="E775" s="213"/>
      <c r="F775" s="213"/>
      <c r="G775" s="213"/>
      <c r="H775" s="213"/>
      <c r="I775" s="213"/>
      <c r="J775" s="213"/>
      <c r="K775" s="213"/>
      <c r="L775" s="213"/>
      <c r="M775" s="213"/>
      <c r="N775" s="213"/>
      <c r="O775" s="213"/>
      <c r="P775" s="213"/>
      <c r="Q775" s="213"/>
      <c r="R775" s="213"/>
      <c r="S775" s="213"/>
      <c r="T775" s="213"/>
      <c r="U775" s="213"/>
      <c r="V775" s="213"/>
      <c r="W775" s="213"/>
      <c r="X775" s="213"/>
      <c r="Y775" s="213"/>
      <c r="Z775" s="213"/>
      <c r="AA775" s="213"/>
      <c r="AB775" s="213"/>
      <c r="AC775" s="213"/>
      <c r="AD775" s="213"/>
    </row>
    <row r="776" ht="15.75" customHeight="1">
      <c r="A776" s="257"/>
      <c r="B776" s="213"/>
      <c r="C776" s="213"/>
      <c r="D776" s="213"/>
      <c r="E776" s="213"/>
      <c r="F776" s="213"/>
      <c r="G776" s="213"/>
      <c r="H776" s="213"/>
      <c r="I776" s="213"/>
      <c r="J776" s="213"/>
      <c r="K776" s="213"/>
      <c r="L776" s="213"/>
      <c r="M776" s="213"/>
      <c r="N776" s="213"/>
      <c r="O776" s="213"/>
      <c r="P776" s="213"/>
      <c r="Q776" s="213"/>
      <c r="R776" s="213"/>
      <c r="S776" s="213"/>
      <c r="T776" s="213"/>
      <c r="U776" s="213"/>
      <c r="V776" s="213"/>
      <c r="W776" s="213"/>
      <c r="X776" s="213"/>
      <c r="Y776" s="213"/>
      <c r="Z776" s="213"/>
      <c r="AA776" s="213"/>
      <c r="AB776" s="213"/>
      <c r="AC776" s="213"/>
      <c r="AD776" s="213"/>
    </row>
    <row r="777" ht="15.75" customHeight="1">
      <c r="A777" s="257"/>
      <c r="B777" s="213"/>
      <c r="C777" s="213"/>
      <c r="D777" s="213"/>
      <c r="E777" s="213"/>
      <c r="F777" s="213"/>
      <c r="G777" s="213"/>
      <c r="H777" s="213"/>
      <c r="I777" s="213"/>
      <c r="J777" s="213"/>
      <c r="K777" s="213"/>
      <c r="L777" s="213"/>
      <c r="M777" s="213"/>
      <c r="N777" s="213"/>
      <c r="O777" s="213"/>
      <c r="P777" s="213"/>
      <c r="Q777" s="213"/>
      <c r="R777" s="213"/>
      <c r="S777" s="213"/>
      <c r="T777" s="213"/>
      <c r="U777" s="213"/>
      <c r="V777" s="213"/>
      <c r="W777" s="213"/>
      <c r="X777" s="213"/>
      <c r="Y777" s="213"/>
      <c r="Z777" s="213"/>
      <c r="AA777" s="213"/>
      <c r="AB777" s="213"/>
      <c r="AC777" s="213"/>
      <c r="AD777" s="213"/>
    </row>
    <row r="778" ht="15.75" customHeight="1">
      <c r="A778" s="257"/>
      <c r="B778" s="213"/>
      <c r="C778" s="213"/>
      <c r="D778" s="213"/>
      <c r="E778" s="213"/>
      <c r="F778" s="213"/>
      <c r="G778" s="213"/>
      <c r="H778" s="213"/>
      <c r="I778" s="213"/>
      <c r="J778" s="213"/>
      <c r="K778" s="213"/>
      <c r="L778" s="213"/>
      <c r="M778" s="213"/>
      <c r="N778" s="213"/>
      <c r="O778" s="213"/>
      <c r="P778" s="213"/>
      <c r="Q778" s="213"/>
      <c r="R778" s="213"/>
      <c r="S778" s="213"/>
      <c r="T778" s="213"/>
      <c r="U778" s="213"/>
      <c r="V778" s="213"/>
      <c r="W778" s="213"/>
      <c r="X778" s="213"/>
      <c r="Y778" s="213"/>
      <c r="Z778" s="213"/>
      <c r="AA778" s="213"/>
      <c r="AB778" s="213"/>
      <c r="AC778" s="213"/>
      <c r="AD778" s="213"/>
    </row>
    <row r="779" ht="15.75" customHeight="1">
      <c r="A779" s="257"/>
      <c r="B779" s="213"/>
      <c r="C779" s="213"/>
      <c r="D779" s="213"/>
      <c r="E779" s="213"/>
      <c r="F779" s="213"/>
      <c r="G779" s="213"/>
      <c r="H779" s="213"/>
      <c r="I779" s="213"/>
      <c r="J779" s="213"/>
      <c r="K779" s="213"/>
      <c r="L779" s="213"/>
      <c r="M779" s="213"/>
      <c r="N779" s="213"/>
      <c r="O779" s="213"/>
      <c r="P779" s="213"/>
      <c r="Q779" s="213"/>
      <c r="R779" s="213"/>
      <c r="S779" s="213"/>
      <c r="T779" s="213"/>
      <c r="U779" s="213"/>
      <c r="V779" s="213"/>
      <c r="W779" s="213"/>
      <c r="X779" s="213"/>
      <c r="Y779" s="213"/>
      <c r="Z779" s="213"/>
      <c r="AA779" s="213"/>
      <c r="AB779" s="213"/>
      <c r="AC779" s="213"/>
      <c r="AD779" s="213"/>
    </row>
    <row r="780" ht="15.75" customHeight="1">
      <c r="A780" s="257"/>
      <c r="B780" s="213"/>
      <c r="C780" s="213"/>
      <c r="D780" s="213"/>
      <c r="E780" s="213"/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  <c r="Q780" s="213"/>
      <c r="R780" s="213"/>
      <c r="S780" s="213"/>
      <c r="T780" s="213"/>
      <c r="U780" s="213"/>
      <c r="V780" s="213"/>
      <c r="W780" s="213"/>
      <c r="X780" s="213"/>
      <c r="Y780" s="213"/>
      <c r="Z780" s="213"/>
      <c r="AA780" s="213"/>
      <c r="AB780" s="213"/>
      <c r="AC780" s="213"/>
      <c r="AD780" s="213"/>
    </row>
    <row r="781" ht="15.75" customHeight="1">
      <c r="A781" s="257"/>
      <c r="B781" s="213"/>
      <c r="C781" s="213"/>
      <c r="D781" s="213"/>
      <c r="E781" s="213"/>
      <c r="F781" s="213"/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  <c r="Q781" s="213"/>
      <c r="R781" s="213"/>
      <c r="S781" s="213"/>
      <c r="T781" s="213"/>
      <c r="U781" s="213"/>
      <c r="V781" s="213"/>
      <c r="W781" s="213"/>
      <c r="X781" s="213"/>
      <c r="Y781" s="213"/>
      <c r="Z781" s="213"/>
      <c r="AA781" s="213"/>
      <c r="AB781" s="213"/>
      <c r="AC781" s="213"/>
      <c r="AD781" s="213"/>
    </row>
    <row r="782" ht="15.75" customHeight="1">
      <c r="A782" s="257"/>
      <c r="B782" s="213"/>
      <c r="C782" s="213"/>
      <c r="D782" s="213"/>
      <c r="E782" s="213"/>
      <c r="F782" s="213"/>
      <c r="G782" s="213"/>
      <c r="H782" s="213"/>
      <c r="I782" s="213"/>
      <c r="J782" s="213"/>
      <c r="K782" s="213"/>
      <c r="L782" s="213"/>
      <c r="M782" s="213"/>
      <c r="N782" s="213"/>
      <c r="O782" s="213"/>
      <c r="P782" s="213"/>
      <c r="Q782" s="213"/>
      <c r="R782" s="213"/>
      <c r="S782" s="213"/>
      <c r="T782" s="213"/>
      <c r="U782" s="213"/>
      <c r="V782" s="213"/>
      <c r="W782" s="213"/>
      <c r="X782" s="213"/>
      <c r="Y782" s="213"/>
      <c r="Z782" s="213"/>
      <c r="AA782" s="213"/>
      <c r="AB782" s="213"/>
      <c r="AC782" s="213"/>
      <c r="AD782" s="213"/>
    </row>
    <row r="783" ht="15.75" customHeight="1">
      <c r="A783" s="257"/>
      <c r="B783" s="213"/>
      <c r="C783" s="213"/>
      <c r="D783" s="213"/>
      <c r="E783" s="213"/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  <c r="Q783" s="213"/>
      <c r="R783" s="213"/>
      <c r="S783" s="213"/>
      <c r="T783" s="213"/>
      <c r="U783" s="213"/>
      <c r="V783" s="213"/>
      <c r="W783" s="213"/>
      <c r="X783" s="213"/>
      <c r="Y783" s="213"/>
      <c r="Z783" s="213"/>
      <c r="AA783" s="213"/>
      <c r="AB783" s="213"/>
      <c r="AC783" s="213"/>
      <c r="AD783" s="213"/>
    </row>
    <row r="784" ht="15.75" customHeight="1">
      <c r="A784" s="257"/>
      <c r="B784" s="213"/>
      <c r="C784" s="213"/>
      <c r="D784" s="213"/>
      <c r="E784" s="213"/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  <c r="Q784" s="213"/>
      <c r="R784" s="213"/>
      <c r="S784" s="213"/>
      <c r="T784" s="213"/>
      <c r="U784" s="213"/>
      <c r="V784" s="213"/>
      <c r="W784" s="213"/>
      <c r="X784" s="213"/>
      <c r="Y784" s="213"/>
      <c r="Z784" s="213"/>
      <c r="AA784" s="213"/>
      <c r="AB784" s="213"/>
      <c r="AC784" s="213"/>
      <c r="AD784" s="213"/>
    </row>
    <row r="785" ht="15.75" customHeight="1">
      <c r="A785" s="257"/>
      <c r="B785" s="213"/>
      <c r="C785" s="213"/>
      <c r="D785" s="213"/>
      <c r="E785" s="213"/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  <c r="Q785" s="213"/>
      <c r="R785" s="213"/>
      <c r="S785" s="213"/>
      <c r="T785" s="213"/>
      <c r="U785" s="213"/>
      <c r="V785" s="213"/>
      <c r="W785" s="213"/>
      <c r="X785" s="213"/>
      <c r="Y785" s="213"/>
      <c r="Z785" s="213"/>
      <c r="AA785" s="213"/>
      <c r="AB785" s="213"/>
      <c r="AC785" s="213"/>
      <c r="AD785" s="213"/>
    </row>
    <row r="786" ht="15.75" customHeight="1">
      <c r="A786" s="257"/>
      <c r="B786" s="213"/>
      <c r="C786" s="213"/>
      <c r="D786" s="213"/>
      <c r="E786" s="213"/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  <c r="Q786" s="213"/>
      <c r="R786" s="213"/>
      <c r="S786" s="213"/>
      <c r="T786" s="213"/>
      <c r="U786" s="213"/>
      <c r="V786" s="213"/>
      <c r="W786" s="213"/>
      <c r="X786" s="213"/>
      <c r="Y786" s="213"/>
      <c r="Z786" s="213"/>
      <c r="AA786" s="213"/>
      <c r="AB786" s="213"/>
      <c r="AC786" s="213"/>
      <c r="AD786" s="213"/>
    </row>
    <row r="787" ht="15.75" customHeight="1">
      <c r="A787" s="257"/>
      <c r="B787" s="213"/>
      <c r="C787" s="213"/>
      <c r="D787" s="213"/>
      <c r="E787" s="213"/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  <c r="Q787" s="213"/>
      <c r="R787" s="213"/>
      <c r="S787" s="213"/>
      <c r="T787" s="213"/>
      <c r="U787" s="213"/>
      <c r="V787" s="213"/>
      <c r="W787" s="213"/>
      <c r="X787" s="213"/>
      <c r="Y787" s="213"/>
      <c r="Z787" s="213"/>
      <c r="AA787" s="213"/>
      <c r="AB787" s="213"/>
      <c r="AC787" s="213"/>
      <c r="AD787" s="213"/>
    </row>
    <row r="788" ht="15.75" customHeight="1">
      <c r="A788" s="257"/>
      <c r="B788" s="213"/>
      <c r="C788" s="213"/>
      <c r="D788" s="213"/>
      <c r="E788" s="213"/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  <c r="Q788" s="213"/>
      <c r="R788" s="213"/>
      <c r="S788" s="213"/>
      <c r="T788" s="213"/>
      <c r="U788" s="213"/>
      <c r="V788" s="213"/>
      <c r="W788" s="213"/>
      <c r="X788" s="213"/>
      <c r="Y788" s="213"/>
      <c r="Z788" s="213"/>
      <c r="AA788" s="213"/>
      <c r="AB788" s="213"/>
      <c r="AC788" s="213"/>
      <c r="AD788" s="213"/>
    </row>
    <row r="789" ht="15.75" customHeight="1">
      <c r="A789" s="257"/>
      <c r="B789" s="213"/>
      <c r="C789" s="213"/>
      <c r="D789" s="213"/>
      <c r="E789" s="213"/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  <c r="Q789" s="213"/>
      <c r="R789" s="213"/>
      <c r="S789" s="213"/>
      <c r="T789" s="213"/>
      <c r="U789" s="213"/>
      <c r="V789" s="213"/>
      <c r="W789" s="213"/>
      <c r="X789" s="213"/>
      <c r="Y789" s="213"/>
      <c r="Z789" s="213"/>
      <c r="AA789" s="213"/>
      <c r="AB789" s="213"/>
      <c r="AC789" s="213"/>
      <c r="AD789" s="213"/>
    </row>
    <row r="790" ht="15.75" customHeight="1">
      <c r="A790" s="257"/>
      <c r="B790" s="213"/>
      <c r="C790" s="213"/>
      <c r="D790" s="213"/>
      <c r="E790" s="213"/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  <c r="Y790" s="213"/>
      <c r="Z790" s="213"/>
      <c r="AA790" s="213"/>
      <c r="AB790" s="213"/>
      <c r="AC790" s="213"/>
      <c r="AD790" s="213"/>
    </row>
    <row r="791" ht="15.75" customHeight="1">
      <c r="A791" s="257"/>
      <c r="B791" s="213"/>
      <c r="C791" s="213"/>
      <c r="D791" s="213"/>
      <c r="E791" s="213"/>
      <c r="F791" s="213"/>
      <c r="G791" s="213"/>
      <c r="H791" s="213"/>
      <c r="I791" s="213"/>
      <c r="J791" s="213"/>
      <c r="K791" s="213"/>
      <c r="L791" s="213"/>
      <c r="M791" s="213"/>
      <c r="N791" s="213"/>
      <c r="O791" s="213"/>
      <c r="P791" s="213"/>
      <c r="Q791" s="213"/>
      <c r="R791" s="213"/>
      <c r="S791" s="213"/>
      <c r="T791" s="213"/>
      <c r="U791" s="213"/>
      <c r="V791" s="213"/>
      <c r="W791" s="213"/>
      <c r="X791" s="213"/>
      <c r="Y791" s="213"/>
      <c r="Z791" s="213"/>
      <c r="AA791" s="213"/>
      <c r="AB791" s="213"/>
      <c r="AC791" s="213"/>
      <c r="AD791" s="213"/>
    </row>
    <row r="792" ht="15.75" customHeight="1">
      <c r="A792" s="257"/>
      <c r="B792" s="213"/>
      <c r="C792" s="213"/>
      <c r="D792" s="213"/>
      <c r="E792" s="213"/>
      <c r="F792" s="213"/>
      <c r="G792" s="213"/>
      <c r="H792" s="213"/>
      <c r="I792" s="213"/>
      <c r="J792" s="213"/>
      <c r="K792" s="213"/>
      <c r="L792" s="213"/>
      <c r="M792" s="213"/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  <c r="Y792" s="213"/>
      <c r="Z792" s="213"/>
      <c r="AA792" s="213"/>
      <c r="AB792" s="213"/>
      <c r="AC792" s="213"/>
      <c r="AD792" s="213"/>
    </row>
    <row r="793" ht="15.75" customHeight="1">
      <c r="A793" s="257"/>
      <c r="B793" s="213"/>
      <c r="C793" s="213"/>
      <c r="D793" s="213"/>
      <c r="E793" s="213"/>
      <c r="F793" s="213"/>
      <c r="G793" s="213"/>
      <c r="H793" s="213"/>
      <c r="I793" s="213"/>
      <c r="J793" s="213"/>
      <c r="K793" s="213"/>
      <c r="L793" s="213"/>
      <c r="M793" s="213"/>
      <c r="N793" s="213"/>
      <c r="O793" s="213"/>
      <c r="P793" s="213"/>
      <c r="Q793" s="213"/>
      <c r="R793" s="213"/>
      <c r="S793" s="213"/>
      <c r="T793" s="213"/>
      <c r="U793" s="213"/>
      <c r="V793" s="213"/>
      <c r="W793" s="213"/>
      <c r="X793" s="213"/>
      <c r="Y793" s="213"/>
      <c r="Z793" s="213"/>
      <c r="AA793" s="213"/>
      <c r="AB793" s="213"/>
      <c r="AC793" s="213"/>
      <c r="AD793" s="213"/>
    </row>
    <row r="794" ht="15.75" customHeight="1">
      <c r="A794" s="257"/>
      <c r="B794" s="213"/>
      <c r="C794" s="213"/>
      <c r="D794" s="213"/>
      <c r="E794" s="213"/>
      <c r="F794" s="213"/>
      <c r="G794" s="213"/>
      <c r="H794" s="213"/>
      <c r="I794" s="213"/>
      <c r="J794" s="213"/>
      <c r="K794" s="213"/>
      <c r="L794" s="213"/>
      <c r="M794" s="213"/>
      <c r="N794" s="213"/>
      <c r="O794" s="213"/>
      <c r="P794" s="213"/>
      <c r="Q794" s="213"/>
      <c r="R794" s="213"/>
      <c r="S794" s="213"/>
      <c r="T794" s="213"/>
      <c r="U794" s="213"/>
      <c r="V794" s="213"/>
      <c r="W794" s="213"/>
      <c r="X794" s="213"/>
      <c r="Y794" s="213"/>
      <c r="Z794" s="213"/>
      <c r="AA794" s="213"/>
      <c r="AB794" s="213"/>
      <c r="AC794" s="213"/>
      <c r="AD794" s="213"/>
    </row>
    <row r="795" ht="15.75" customHeight="1">
      <c r="A795" s="257"/>
      <c r="B795" s="213"/>
      <c r="C795" s="213"/>
      <c r="D795" s="213"/>
      <c r="E795" s="213"/>
      <c r="F795" s="213"/>
      <c r="G795" s="213"/>
      <c r="H795" s="213"/>
      <c r="I795" s="213"/>
      <c r="J795" s="213"/>
      <c r="K795" s="213"/>
      <c r="L795" s="213"/>
      <c r="M795" s="213"/>
      <c r="N795" s="213"/>
      <c r="O795" s="213"/>
      <c r="P795" s="213"/>
      <c r="Q795" s="213"/>
      <c r="R795" s="213"/>
      <c r="S795" s="213"/>
      <c r="T795" s="213"/>
      <c r="U795" s="213"/>
      <c r="V795" s="213"/>
      <c r="W795" s="213"/>
      <c r="X795" s="213"/>
      <c r="Y795" s="213"/>
      <c r="Z795" s="213"/>
      <c r="AA795" s="213"/>
      <c r="AB795" s="213"/>
      <c r="AC795" s="213"/>
      <c r="AD795" s="213"/>
    </row>
    <row r="796" ht="15.75" customHeight="1">
      <c r="A796" s="257"/>
      <c r="B796" s="213"/>
      <c r="C796" s="213"/>
      <c r="D796" s="213"/>
      <c r="E796" s="213"/>
      <c r="F796" s="213"/>
      <c r="G796" s="213"/>
      <c r="H796" s="213"/>
      <c r="I796" s="213"/>
      <c r="J796" s="213"/>
      <c r="K796" s="213"/>
      <c r="L796" s="213"/>
      <c r="M796" s="213"/>
      <c r="N796" s="213"/>
      <c r="O796" s="213"/>
      <c r="P796" s="213"/>
      <c r="Q796" s="213"/>
      <c r="R796" s="213"/>
      <c r="S796" s="213"/>
      <c r="T796" s="213"/>
      <c r="U796" s="213"/>
      <c r="V796" s="213"/>
      <c r="W796" s="213"/>
      <c r="X796" s="213"/>
      <c r="Y796" s="213"/>
      <c r="Z796" s="213"/>
      <c r="AA796" s="213"/>
      <c r="AB796" s="213"/>
      <c r="AC796" s="213"/>
      <c r="AD796" s="213"/>
    </row>
    <row r="797" ht="15.75" customHeight="1">
      <c r="A797" s="257"/>
      <c r="B797" s="213"/>
      <c r="C797" s="213"/>
      <c r="D797" s="213"/>
      <c r="E797" s="213"/>
      <c r="F797" s="213"/>
      <c r="G797" s="213"/>
      <c r="H797" s="213"/>
      <c r="I797" s="213"/>
      <c r="J797" s="213"/>
      <c r="K797" s="213"/>
      <c r="L797" s="213"/>
      <c r="M797" s="213"/>
      <c r="N797" s="213"/>
      <c r="O797" s="213"/>
      <c r="P797" s="213"/>
      <c r="Q797" s="213"/>
      <c r="R797" s="213"/>
      <c r="S797" s="213"/>
      <c r="T797" s="213"/>
      <c r="U797" s="213"/>
      <c r="V797" s="213"/>
      <c r="W797" s="213"/>
      <c r="X797" s="213"/>
      <c r="Y797" s="213"/>
      <c r="Z797" s="213"/>
      <c r="AA797" s="213"/>
      <c r="AB797" s="213"/>
      <c r="AC797" s="213"/>
      <c r="AD797" s="213"/>
    </row>
    <row r="798" ht="15.75" customHeight="1">
      <c r="A798" s="257"/>
      <c r="B798" s="213"/>
      <c r="C798" s="213"/>
      <c r="D798" s="213"/>
      <c r="E798" s="213"/>
      <c r="F798" s="213"/>
      <c r="G798" s="213"/>
      <c r="H798" s="213"/>
      <c r="I798" s="213"/>
      <c r="J798" s="213"/>
      <c r="K798" s="213"/>
      <c r="L798" s="213"/>
      <c r="M798" s="213"/>
      <c r="N798" s="213"/>
      <c r="O798" s="213"/>
      <c r="P798" s="213"/>
      <c r="Q798" s="213"/>
      <c r="R798" s="213"/>
      <c r="S798" s="213"/>
      <c r="T798" s="213"/>
      <c r="U798" s="213"/>
      <c r="V798" s="213"/>
      <c r="W798" s="213"/>
      <c r="X798" s="213"/>
      <c r="Y798" s="213"/>
      <c r="Z798" s="213"/>
      <c r="AA798" s="213"/>
      <c r="AB798" s="213"/>
      <c r="AC798" s="213"/>
      <c r="AD798" s="213"/>
    </row>
    <row r="799" ht="15.75" customHeight="1">
      <c r="A799" s="257"/>
      <c r="B799" s="213"/>
      <c r="C799" s="213"/>
      <c r="D799" s="213"/>
      <c r="E799" s="213"/>
      <c r="F799" s="213"/>
      <c r="G799" s="213"/>
      <c r="H799" s="213"/>
      <c r="I799" s="213"/>
      <c r="J799" s="213"/>
      <c r="K799" s="213"/>
      <c r="L799" s="213"/>
      <c r="M799" s="213"/>
      <c r="N799" s="213"/>
      <c r="O799" s="213"/>
      <c r="P799" s="213"/>
      <c r="Q799" s="213"/>
      <c r="R799" s="213"/>
      <c r="S799" s="213"/>
      <c r="T799" s="213"/>
      <c r="U799" s="213"/>
      <c r="V799" s="213"/>
      <c r="W799" s="213"/>
      <c r="X799" s="213"/>
      <c r="Y799" s="213"/>
      <c r="Z799" s="213"/>
      <c r="AA799" s="213"/>
      <c r="AB799" s="213"/>
      <c r="AC799" s="213"/>
      <c r="AD799" s="213"/>
    </row>
    <row r="800" ht="15.75" customHeight="1">
      <c r="A800" s="257"/>
      <c r="B800" s="213"/>
      <c r="C800" s="213"/>
      <c r="D800" s="213"/>
      <c r="E800" s="213"/>
      <c r="F800" s="213"/>
      <c r="G800" s="213"/>
      <c r="H800" s="213"/>
      <c r="I800" s="213"/>
      <c r="J800" s="213"/>
      <c r="K800" s="213"/>
      <c r="L800" s="213"/>
      <c r="M800" s="213"/>
      <c r="N800" s="213"/>
      <c r="O800" s="213"/>
      <c r="P800" s="213"/>
      <c r="Q800" s="213"/>
      <c r="R800" s="213"/>
      <c r="S800" s="213"/>
      <c r="T800" s="213"/>
      <c r="U800" s="213"/>
      <c r="V800" s="213"/>
      <c r="W800" s="213"/>
      <c r="X800" s="213"/>
      <c r="Y800" s="213"/>
      <c r="Z800" s="213"/>
      <c r="AA800" s="213"/>
      <c r="AB800" s="213"/>
      <c r="AC800" s="213"/>
      <c r="AD800" s="213"/>
    </row>
    <row r="801" ht="15.75" customHeight="1">
      <c r="A801" s="257"/>
      <c r="B801" s="213"/>
      <c r="C801" s="213"/>
      <c r="D801" s="213"/>
      <c r="E801" s="213"/>
      <c r="F801" s="213"/>
      <c r="G801" s="213"/>
      <c r="H801" s="213"/>
      <c r="I801" s="213"/>
      <c r="J801" s="213"/>
      <c r="K801" s="213"/>
      <c r="L801" s="213"/>
      <c r="M801" s="213"/>
      <c r="N801" s="213"/>
      <c r="O801" s="213"/>
      <c r="P801" s="213"/>
      <c r="Q801" s="213"/>
      <c r="R801" s="213"/>
      <c r="S801" s="213"/>
      <c r="T801" s="213"/>
      <c r="U801" s="213"/>
      <c r="V801" s="213"/>
      <c r="W801" s="213"/>
      <c r="X801" s="213"/>
      <c r="Y801" s="213"/>
      <c r="Z801" s="213"/>
      <c r="AA801" s="213"/>
      <c r="AB801" s="213"/>
      <c r="AC801" s="213"/>
      <c r="AD801" s="213"/>
    </row>
    <row r="802" ht="15.75" customHeight="1">
      <c r="A802" s="257"/>
      <c r="B802" s="213"/>
      <c r="C802" s="213"/>
      <c r="D802" s="213"/>
      <c r="E802" s="213"/>
      <c r="F802" s="213"/>
      <c r="G802" s="213"/>
      <c r="H802" s="213"/>
      <c r="I802" s="213"/>
      <c r="J802" s="213"/>
      <c r="K802" s="213"/>
      <c r="L802" s="213"/>
      <c r="M802" s="213"/>
      <c r="N802" s="213"/>
      <c r="O802" s="213"/>
      <c r="P802" s="213"/>
      <c r="Q802" s="213"/>
      <c r="R802" s="213"/>
      <c r="S802" s="213"/>
      <c r="T802" s="213"/>
      <c r="U802" s="213"/>
      <c r="V802" s="213"/>
      <c r="W802" s="213"/>
      <c r="X802" s="213"/>
      <c r="Y802" s="213"/>
      <c r="Z802" s="213"/>
      <c r="AA802" s="213"/>
      <c r="AB802" s="213"/>
      <c r="AC802" s="213"/>
      <c r="AD802" s="213"/>
    </row>
    <row r="803" ht="15.75" customHeight="1">
      <c r="A803" s="257"/>
      <c r="B803" s="213"/>
      <c r="C803" s="213"/>
      <c r="D803" s="213"/>
      <c r="E803" s="213"/>
      <c r="F803" s="213"/>
      <c r="G803" s="213"/>
      <c r="H803" s="213"/>
      <c r="I803" s="213"/>
      <c r="J803" s="213"/>
      <c r="K803" s="213"/>
      <c r="L803" s="213"/>
      <c r="M803" s="213"/>
      <c r="N803" s="213"/>
      <c r="O803" s="213"/>
      <c r="P803" s="213"/>
      <c r="Q803" s="213"/>
      <c r="R803" s="213"/>
      <c r="S803" s="213"/>
      <c r="T803" s="213"/>
      <c r="U803" s="213"/>
      <c r="V803" s="213"/>
      <c r="W803" s="213"/>
      <c r="X803" s="213"/>
      <c r="Y803" s="213"/>
      <c r="Z803" s="213"/>
      <c r="AA803" s="213"/>
      <c r="AB803" s="213"/>
      <c r="AC803" s="213"/>
      <c r="AD803" s="213"/>
    </row>
    <row r="804" ht="15.75" customHeight="1">
      <c r="A804" s="257"/>
      <c r="B804" s="213"/>
      <c r="C804" s="213"/>
      <c r="D804" s="213"/>
      <c r="E804" s="213"/>
      <c r="F804" s="213"/>
      <c r="G804" s="213"/>
      <c r="H804" s="213"/>
      <c r="I804" s="213"/>
      <c r="J804" s="213"/>
      <c r="K804" s="213"/>
      <c r="L804" s="213"/>
      <c r="M804" s="213"/>
      <c r="N804" s="213"/>
      <c r="O804" s="213"/>
      <c r="P804" s="213"/>
      <c r="Q804" s="213"/>
      <c r="R804" s="213"/>
      <c r="S804" s="213"/>
      <c r="T804" s="213"/>
      <c r="U804" s="213"/>
      <c r="V804" s="213"/>
      <c r="W804" s="213"/>
      <c r="X804" s="213"/>
      <c r="Y804" s="213"/>
      <c r="Z804" s="213"/>
      <c r="AA804" s="213"/>
      <c r="AB804" s="213"/>
      <c r="AC804" s="213"/>
      <c r="AD804" s="213"/>
    </row>
    <row r="805" ht="15.75" customHeight="1">
      <c r="A805" s="257"/>
      <c r="B805" s="213"/>
      <c r="C805" s="213"/>
      <c r="D805" s="213"/>
      <c r="E805" s="213"/>
      <c r="F805" s="213"/>
      <c r="G805" s="213"/>
      <c r="H805" s="213"/>
      <c r="I805" s="213"/>
      <c r="J805" s="213"/>
      <c r="K805" s="213"/>
      <c r="L805" s="213"/>
      <c r="M805" s="213"/>
      <c r="N805" s="213"/>
      <c r="O805" s="213"/>
      <c r="P805" s="213"/>
      <c r="Q805" s="213"/>
      <c r="R805" s="213"/>
      <c r="S805" s="213"/>
      <c r="T805" s="213"/>
      <c r="U805" s="213"/>
      <c r="V805" s="213"/>
      <c r="W805" s="213"/>
      <c r="X805" s="213"/>
      <c r="Y805" s="213"/>
      <c r="Z805" s="213"/>
      <c r="AA805" s="213"/>
      <c r="AB805" s="213"/>
      <c r="AC805" s="213"/>
      <c r="AD805" s="213"/>
    </row>
    <row r="806" ht="15.75" customHeight="1">
      <c r="A806" s="257"/>
      <c r="B806" s="213"/>
      <c r="C806" s="213"/>
      <c r="D806" s="213"/>
      <c r="E806" s="213"/>
      <c r="F806" s="213"/>
      <c r="G806" s="213"/>
      <c r="H806" s="213"/>
      <c r="I806" s="213"/>
      <c r="J806" s="213"/>
      <c r="K806" s="213"/>
      <c r="L806" s="213"/>
      <c r="M806" s="213"/>
      <c r="N806" s="213"/>
      <c r="O806" s="213"/>
      <c r="P806" s="213"/>
      <c r="Q806" s="213"/>
      <c r="R806" s="213"/>
      <c r="S806" s="213"/>
      <c r="T806" s="213"/>
      <c r="U806" s="213"/>
      <c r="V806" s="213"/>
      <c r="W806" s="213"/>
      <c r="X806" s="213"/>
      <c r="Y806" s="213"/>
      <c r="Z806" s="213"/>
      <c r="AA806" s="213"/>
      <c r="AB806" s="213"/>
      <c r="AC806" s="213"/>
      <c r="AD806" s="213"/>
    </row>
    <row r="807" ht="15.75" customHeight="1">
      <c r="A807" s="257"/>
      <c r="B807" s="213"/>
      <c r="C807" s="213"/>
      <c r="D807" s="213"/>
      <c r="E807" s="213"/>
      <c r="F807" s="213"/>
      <c r="G807" s="213"/>
      <c r="H807" s="213"/>
      <c r="I807" s="213"/>
      <c r="J807" s="213"/>
      <c r="K807" s="213"/>
      <c r="L807" s="213"/>
      <c r="M807" s="213"/>
      <c r="N807" s="213"/>
      <c r="O807" s="213"/>
      <c r="P807" s="213"/>
      <c r="Q807" s="213"/>
      <c r="R807" s="213"/>
      <c r="S807" s="213"/>
      <c r="T807" s="213"/>
      <c r="U807" s="213"/>
      <c r="V807" s="213"/>
      <c r="W807" s="213"/>
      <c r="X807" s="213"/>
      <c r="Y807" s="213"/>
      <c r="Z807" s="213"/>
      <c r="AA807" s="213"/>
      <c r="AB807" s="213"/>
      <c r="AC807" s="213"/>
      <c r="AD807" s="213"/>
    </row>
    <row r="808" ht="15.75" customHeight="1">
      <c r="A808" s="257"/>
      <c r="B808" s="213"/>
      <c r="C808" s="213"/>
      <c r="D808" s="213"/>
      <c r="E808" s="213"/>
      <c r="F808" s="213"/>
      <c r="G808" s="213"/>
      <c r="H808" s="213"/>
      <c r="I808" s="213"/>
      <c r="J808" s="213"/>
      <c r="K808" s="213"/>
      <c r="L808" s="213"/>
      <c r="M808" s="213"/>
      <c r="N808" s="213"/>
      <c r="O808" s="213"/>
      <c r="P808" s="213"/>
      <c r="Q808" s="213"/>
      <c r="R808" s="213"/>
      <c r="S808" s="213"/>
      <c r="T808" s="213"/>
      <c r="U808" s="213"/>
      <c r="V808" s="213"/>
      <c r="W808" s="213"/>
      <c r="X808" s="213"/>
      <c r="Y808" s="213"/>
      <c r="Z808" s="213"/>
      <c r="AA808" s="213"/>
      <c r="AB808" s="213"/>
      <c r="AC808" s="213"/>
      <c r="AD808" s="213"/>
    </row>
    <row r="809" ht="15.75" customHeight="1">
      <c r="A809" s="257"/>
      <c r="B809" s="213"/>
      <c r="C809" s="213"/>
      <c r="D809" s="213"/>
      <c r="E809" s="213"/>
      <c r="F809" s="213"/>
      <c r="G809" s="213"/>
      <c r="H809" s="213"/>
      <c r="I809" s="213"/>
      <c r="J809" s="213"/>
      <c r="K809" s="213"/>
      <c r="L809" s="213"/>
      <c r="M809" s="213"/>
      <c r="N809" s="213"/>
      <c r="O809" s="213"/>
      <c r="P809" s="213"/>
      <c r="Q809" s="213"/>
      <c r="R809" s="213"/>
      <c r="S809" s="213"/>
      <c r="T809" s="213"/>
      <c r="U809" s="213"/>
      <c r="V809" s="213"/>
      <c r="W809" s="213"/>
      <c r="X809" s="213"/>
      <c r="Y809" s="213"/>
      <c r="Z809" s="213"/>
      <c r="AA809" s="213"/>
      <c r="AB809" s="213"/>
      <c r="AC809" s="213"/>
      <c r="AD809" s="213"/>
    </row>
    <row r="810" ht="15.75" customHeight="1">
      <c r="A810" s="257"/>
      <c r="B810" s="213"/>
      <c r="C810" s="213"/>
      <c r="D810" s="213"/>
      <c r="E810" s="213"/>
      <c r="F810" s="213"/>
      <c r="G810" s="213"/>
      <c r="H810" s="213"/>
      <c r="I810" s="213"/>
      <c r="J810" s="213"/>
      <c r="K810" s="213"/>
      <c r="L810" s="213"/>
      <c r="M810" s="213"/>
      <c r="N810" s="213"/>
      <c r="O810" s="213"/>
      <c r="P810" s="213"/>
      <c r="Q810" s="213"/>
      <c r="R810" s="213"/>
      <c r="S810" s="213"/>
      <c r="T810" s="213"/>
      <c r="U810" s="213"/>
      <c r="V810" s="213"/>
      <c r="W810" s="213"/>
      <c r="X810" s="213"/>
      <c r="Y810" s="213"/>
      <c r="Z810" s="213"/>
      <c r="AA810" s="213"/>
      <c r="AB810" s="213"/>
      <c r="AC810" s="213"/>
      <c r="AD810" s="213"/>
    </row>
    <row r="811" ht="15.75" customHeight="1">
      <c r="A811" s="257"/>
      <c r="B811" s="213"/>
      <c r="C811" s="213"/>
      <c r="D811" s="213"/>
      <c r="E811" s="213"/>
      <c r="F811" s="213"/>
      <c r="G811" s="213"/>
      <c r="H811" s="213"/>
      <c r="I811" s="213"/>
      <c r="J811" s="213"/>
      <c r="K811" s="213"/>
      <c r="L811" s="213"/>
      <c r="M811" s="213"/>
      <c r="N811" s="213"/>
      <c r="O811" s="213"/>
      <c r="P811" s="213"/>
      <c r="Q811" s="213"/>
      <c r="R811" s="213"/>
      <c r="S811" s="213"/>
      <c r="T811" s="213"/>
      <c r="U811" s="213"/>
      <c r="V811" s="213"/>
      <c r="W811" s="213"/>
      <c r="X811" s="213"/>
      <c r="Y811" s="213"/>
      <c r="Z811" s="213"/>
      <c r="AA811" s="213"/>
      <c r="AB811" s="213"/>
      <c r="AC811" s="213"/>
      <c r="AD811" s="213"/>
    </row>
    <row r="812" ht="15.75" customHeight="1">
      <c r="A812" s="257"/>
      <c r="B812" s="213"/>
      <c r="C812" s="213"/>
      <c r="D812" s="213"/>
      <c r="E812" s="213"/>
      <c r="F812" s="213"/>
      <c r="G812" s="213"/>
      <c r="H812" s="213"/>
      <c r="I812" s="213"/>
      <c r="J812" s="213"/>
      <c r="K812" s="213"/>
      <c r="L812" s="213"/>
      <c r="M812" s="213"/>
      <c r="N812" s="213"/>
      <c r="O812" s="213"/>
      <c r="P812" s="213"/>
      <c r="Q812" s="213"/>
      <c r="R812" s="213"/>
      <c r="S812" s="213"/>
      <c r="T812" s="213"/>
      <c r="U812" s="213"/>
      <c r="V812" s="213"/>
      <c r="W812" s="213"/>
      <c r="X812" s="213"/>
      <c r="Y812" s="213"/>
      <c r="Z812" s="213"/>
      <c r="AA812" s="213"/>
      <c r="AB812" s="213"/>
      <c r="AC812" s="213"/>
      <c r="AD812" s="213"/>
    </row>
    <row r="813" ht="15.75" customHeight="1">
      <c r="A813" s="257"/>
      <c r="B813" s="213"/>
      <c r="C813" s="213"/>
      <c r="D813" s="213"/>
      <c r="E813" s="213"/>
      <c r="F813" s="213"/>
      <c r="G813" s="213"/>
      <c r="H813" s="213"/>
      <c r="I813" s="213"/>
      <c r="J813" s="213"/>
      <c r="K813" s="213"/>
      <c r="L813" s="213"/>
      <c r="M813" s="213"/>
      <c r="N813" s="213"/>
      <c r="O813" s="213"/>
      <c r="P813" s="213"/>
      <c r="Q813" s="213"/>
      <c r="R813" s="213"/>
      <c r="S813" s="213"/>
      <c r="T813" s="213"/>
      <c r="U813" s="213"/>
      <c r="V813" s="213"/>
      <c r="W813" s="213"/>
      <c r="X813" s="213"/>
      <c r="Y813" s="213"/>
      <c r="Z813" s="213"/>
      <c r="AA813" s="213"/>
      <c r="AB813" s="213"/>
      <c r="AC813" s="213"/>
      <c r="AD813" s="213"/>
    </row>
    <row r="814" ht="15.75" customHeight="1">
      <c r="A814" s="257"/>
      <c r="B814" s="213"/>
      <c r="C814" s="213"/>
      <c r="D814" s="213"/>
      <c r="E814" s="213"/>
      <c r="F814" s="213"/>
      <c r="G814" s="213"/>
      <c r="H814" s="213"/>
      <c r="I814" s="213"/>
      <c r="J814" s="213"/>
      <c r="K814" s="213"/>
      <c r="L814" s="213"/>
      <c r="M814" s="213"/>
      <c r="N814" s="213"/>
      <c r="O814" s="213"/>
      <c r="P814" s="213"/>
      <c r="Q814" s="213"/>
      <c r="R814" s="213"/>
      <c r="S814" s="213"/>
      <c r="T814" s="213"/>
      <c r="U814" s="213"/>
      <c r="V814" s="213"/>
      <c r="W814" s="213"/>
      <c r="X814" s="213"/>
      <c r="Y814" s="213"/>
      <c r="Z814" s="213"/>
      <c r="AA814" s="213"/>
      <c r="AB814" s="213"/>
      <c r="AC814" s="213"/>
      <c r="AD814" s="213"/>
    </row>
    <row r="815" ht="15.75" customHeight="1">
      <c r="A815" s="257"/>
      <c r="B815" s="213"/>
      <c r="C815" s="213"/>
      <c r="D815" s="213"/>
      <c r="E815" s="213"/>
      <c r="F815" s="213"/>
      <c r="G815" s="213"/>
      <c r="H815" s="213"/>
      <c r="I815" s="213"/>
      <c r="J815" s="213"/>
      <c r="K815" s="213"/>
      <c r="L815" s="213"/>
      <c r="M815" s="213"/>
      <c r="N815" s="213"/>
      <c r="O815" s="213"/>
      <c r="P815" s="213"/>
      <c r="Q815" s="213"/>
      <c r="R815" s="213"/>
      <c r="S815" s="213"/>
      <c r="T815" s="213"/>
      <c r="U815" s="213"/>
      <c r="V815" s="213"/>
      <c r="W815" s="213"/>
      <c r="X815" s="213"/>
      <c r="Y815" s="213"/>
      <c r="Z815" s="213"/>
      <c r="AA815" s="213"/>
      <c r="AB815" s="213"/>
      <c r="AC815" s="213"/>
      <c r="AD815" s="213"/>
    </row>
    <row r="816" ht="15.75" customHeight="1">
      <c r="A816" s="257"/>
      <c r="B816" s="213"/>
      <c r="C816" s="213"/>
      <c r="D816" s="213"/>
      <c r="E816" s="213"/>
      <c r="F816" s="213"/>
      <c r="G816" s="213"/>
      <c r="H816" s="213"/>
      <c r="I816" s="213"/>
      <c r="J816" s="213"/>
      <c r="K816" s="213"/>
      <c r="L816" s="213"/>
      <c r="M816" s="213"/>
      <c r="N816" s="213"/>
      <c r="O816" s="213"/>
      <c r="P816" s="213"/>
      <c r="Q816" s="213"/>
      <c r="R816" s="213"/>
      <c r="S816" s="213"/>
      <c r="T816" s="213"/>
      <c r="U816" s="213"/>
      <c r="V816" s="213"/>
      <c r="W816" s="213"/>
      <c r="X816" s="213"/>
      <c r="Y816" s="213"/>
      <c r="Z816" s="213"/>
      <c r="AA816" s="213"/>
      <c r="AB816" s="213"/>
      <c r="AC816" s="213"/>
      <c r="AD816" s="213"/>
    </row>
    <row r="817" ht="15.75" customHeight="1">
      <c r="A817" s="257"/>
      <c r="B817" s="213"/>
      <c r="C817" s="213"/>
      <c r="D817" s="213"/>
      <c r="E817" s="213"/>
      <c r="F817" s="213"/>
      <c r="G817" s="213"/>
      <c r="H817" s="213"/>
      <c r="I817" s="213"/>
      <c r="J817" s="213"/>
      <c r="K817" s="213"/>
      <c r="L817" s="213"/>
      <c r="M817" s="213"/>
      <c r="N817" s="213"/>
      <c r="O817" s="213"/>
      <c r="P817" s="213"/>
      <c r="Q817" s="213"/>
      <c r="R817" s="213"/>
      <c r="S817" s="213"/>
      <c r="T817" s="213"/>
      <c r="U817" s="213"/>
      <c r="V817" s="213"/>
      <c r="W817" s="213"/>
      <c r="X817" s="213"/>
      <c r="Y817" s="213"/>
      <c r="Z817" s="213"/>
      <c r="AA817" s="213"/>
      <c r="AB817" s="213"/>
      <c r="AC817" s="213"/>
      <c r="AD817" s="213"/>
    </row>
    <row r="818" ht="15.75" customHeight="1">
      <c r="A818" s="257"/>
      <c r="B818" s="213"/>
      <c r="C818" s="213"/>
      <c r="D818" s="213"/>
      <c r="E818" s="213"/>
      <c r="F818" s="213"/>
      <c r="G818" s="213"/>
      <c r="H818" s="213"/>
      <c r="I818" s="213"/>
      <c r="J818" s="213"/>
      <c r="K818" s="213"/>
      <c r="L818" s="213"/>
      <c r="M818" s="213"/>
      <c r="N818" s="213"/>
      <c r="O818" s="213"/>
      <c r="P818" s="213"/>
      <c r="Q818" s="213"/>
      <c r="R818" s="213"/>
      <c r="S818" s="213"/>
      <c r="T818" s="213"/>
      <c r="U818" s="213"/>
      <c r="V818" s="213"/>
      <c r="W818" s="213"/>
      <c r="X818" s="213"/>
      <c r="Y818" s="213"/>
      <c r="Z818" s="213"/>
      <c r="AA818" s="213"/>
      <c r="AB818" s="213"/>
      <c r="AC818" s="213"/>
      <c r="AD818" s="213"/>
    </row>
    <row r="819" ht="15.75" customHeight="1">
      <c r="A819" s="257"/>
      <c r="B819" s="213"/>
      <c r="C819" s="213"/>
      <c r="D819" s="213"/>
      <c r="E819" s="213"/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  <c r="Q819" s="213"/>
      <c r="R819" s="213"/>
      <c r="S819" s="213"/>
      <c r="T819" s="213"/>
      <c r="U819" s="213"/>
      <c r="V819" s="213"/>
      <c r="W819" s="213"/>
      <c r="X819" s="213"/>
      <c r="Y819" s="213"/>
      <c r="Z819" s="213"/>
      <c r="AA819" s="213"/>
      <c r="AB819" s="213"/>
      <c r="AC819" s="213"/>
      <c r="AD819" s="213"/>
    </row>
    <row r="820" ht="15.75" customHeight="1">
      <c r="A820" s="257"/>
      <c r="B820" s="213"/>
      <c r="C820" s="213"/>
      <c r="D820" s="213"/>
      <c r="E820" s="213"/>
      <c r="F820" s="213"/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  <c r="Q820" s="213"/>
      <c r="R820" s="213"/>
      <c r="S820" s="213"/>
      <c r="T820" s="213"/>
      <c r="U820" s="213"/>
      <c r="V820" s="213"/>
      <c r="W820" s="213"/>
      <c r="X820" s="213"/>
      <c r="Y820" s="213"/>
      <c r="Z820" s="213"/>
      <c r="AA820" s="213"/>
      <c r="AB820" s="213"/>
      <c r="AC820" s="213"/>
      <c r="AD820" s="213"/>
    </row>
    <row r="821" ht="15.75" customHeight="1">
      <c r="A821" s="257"/>
      <c r="B821" s="213"/>
      <c r="C821" s="213"/>
      <c r="D821" s="213"/>
      <c r="E821" s="213"/>
      <c r="F821" s="213"/>
      <c r="G821" s="213"/>
      <c r="H821" s="213"/>
      <c r="I821" s="213"/>
      <c r="J821" s="213"/>
      <c r="K821" s="213"/>
      <c r="L821" s="213"/>
      <c r="M821" s="213"/>
      <c r="N821" s="213"/>
      <c r="O821" s="213"/>
      <c r="P821" s="213"/>
      <c r="Q821" s="213"/>
      <c r="R821" s="213"/>
      <c r="S821" s="213"/>
      <c r="T821" s="213"/>
      <c r="U821" s="213"/>
      <c r="V821" s="213"/>
      <c r="W821" s="213"/>
      <c r="X821" s="213"/>
      <c r="Y821" s="213"/>
      <c r="Z821" s="213"/>
      <c r="AA821" s="213"/>
      <c r="AB821" s="213"/>
      <c r="AC821" s="213"/>
      <c r="AD821" s="213"/>
    </row>
    <row r="822" ht="15.75" customHeight="1">
      <c r="A822" s="257"/>
      <c r="B822" s="213"/>
      <c r="C822" s="213"/>
      <c r="D822" s="213"/>
      <c r="E822" s="213"/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  <c r="Q822" s="213"/>
      <c r="R822" s="213"/>
      <c r="S822" s="213"/>
      <c r="T822" s="213"/>
      <c r="U822" s="213"/>
      <c r="V822" s="213"/>
      <c r="W822" s="213"/>
      <c r="X822" s="213"/>
      <c r="Y822" s="213"/>
      <c r="Z822" s="213"/>
      <c r="AA822" s="213"/>
      <c r="AB822" s="213"/>
      <c r="AC822" s="213"/>
      <c r="AD822" s="213"/>
    </row>
    <row r="823" ht="15.75" customHeight="1">
      <c r="A823" s="257"/>
      <c r="B823" s="213"/>
      <c r="C823" s="213"/>
      <c r="D823" s="213"/>
      <c r="E823" s="213"/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  <c r="Q823" s="213"/>
      <c r="R823" s="213"/>
      <c r="S823" s="213"/>
      <c r="T823" s="213"/>
      <c r="U823" s="213"/>
      <c r="V823" s="213"/>
      <c r="W823" s="213"/>
      <c r="X823" s="213"/>
      <c r="Y823" s="213"/>
      <c r="Z823" s="213"/>
      <c r="AA823" s="213"/>
      <c r="AB823" s="213"/>
      <c r="AC823" s="213"/>
      <c r="AD823" s="213"/>
    </row>
    <row r="824" ht="15.75" customHeight="1">
      <c r="A824" s="257"/>
      <c r="B824" s="213"/>
      <c r="C824" s="213"/>
      <c r="D824" s="213"/>
      <c r="E824" s="213"/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  <c r="Q824" s="213"/>
      <c r="R824" s="213"/>
      <c r="S824" s="213"/>
      <c r="T824" s="213"/>
      <c r="U824" s="213"/>
      <c r="V824" s="213"/>
      <c r="W824" s="213"/>
      <c r="X824" s="213"/>
      <c r="Y824" s="213"/>
      <c r="Z824" s="213"/>
      <c r="AA824" s="213"/>
      <c r="AB824" s="213"/>
      <c r="AC824" s="213"/>
      <c r="AD824" s="213"/>
    </row>
    <row r="825" ht="15.75" customHeight="1">
      <c r="A825" s="257"/>
      <c r="B825" s="213"/>
      <c r="C825" s="213"/>
      <c r="D825" s="213"/>
      <c r="E825" s="213"/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  <c r="Q825" s="213"/>
      <c r="R825" s="213"/>
      <c r="S825" s="213"/>
      <c r="T825" s="213"/>
      <c r="U825" s="213"/>
      <c r="V825" s="213"/>
      <c r="W825" s="213"/>
      <c r="X825" s="213"/>
      <c r="Y825" s="213"/>
      <c r="Z825" s="213"/>
      <c r="AA825" s="213"/>
      <c r="AB825" s="213"/>
      <c r="AC825" s="213"/>
      <c r="AD825" s="213"/>
    </row>
    <row r="826" ht="15.75" customHeight="1">
      <c r="A826" s="257"/>
      <c r="B826" s="213"/>
      <c r="C826" s="213"/>
      <c r="D826" s="213"/>
      <c r="E826" s="213"/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  <c r="Q826" s="213"/>
      <c r="R826" s="213"/>
      <c r="S826" s="213"/>
      <c r="T826" s="213"/>
      <c r="U826" s="213"/>
      <c r="V826" s="213"/>
      <c r="W826" s="213"/>
      <c r="X826" s="213"/>
      <c r="Y826" s="213"/>
      <c r="Z826" s="213"/>
      <c r="AA826" s="213"/>
      <c r="AB826" s="213"/>
      <c r="AC826" s="213"/>
      <c r="AD826" s="213"/>
    </row>
    <row r="827" ht="15.75" customHeight="1">
      <c r="A827" s="257"/>
      <c r="B827" s="213"/>
      <c r="C827" s="213"/>
      <c r="D827" s="213"/>
      <c r="E827" s="213"/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  <c r="Q827" s="213"/>
      <c r="R827" s="213"/>
      <c r="S827" s="213"/>
      <c r="T827" s="213"/>
      <c r="U827" s="213"/>
      <c r="V827" s="213"/>
      <c r="W827" s="213"/>
      <c r="X827" s="213"/>
      <c r="Y827" s="213"/>
      <c r="Z827" s="213"/>
      <c r="AA827" s="213"/>
      <c r="AB827" s="213"/>
      <c r="AC827" s="213"/>
      <c r="AD827" s="213"/>
    </row>
    <row r="828" ht="15.75" customHeight="1">
      <c r="A828" s="257"/>
      <c r="B828" s="213"/>
      <c r="C828" s="213"/>
      <c r="D828" s="213"/>
      <c r="E828" s="213"/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  <c r="Q828" s="213"/>
      <c r="R828" s="213"/>
      <c r="S828" s="213"/>
      <c r="T828" s="213"/>
      <c r="U828" s="213"/>
      <c r="V828" s="213"/>
      <c r="W828" s="213"/>
      <c r="X828" s="213"/>
      <c r="Y828" s="213"/>
      <c r="Z828" s="213"/>
      <c r="AA828" s="213"/>
      <c r="AB828" s="213"/>
      <c r="AC828" s="213"/>
      <c r="AD828" s="213"/>
    </row>
    <row r="829" ht="15.75" customHeight="1">
      <c r="A829" s="257"/>
      <c r="B829" s="213"/>
      <c r="C829" s="213"/>
      <c r="D829" s="213"/>
      <c r="E829" s="213"/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  <c r="Q829" s="213"/>
      <c r="R829" s="213"/>
      <c r="S829" s="213"/>
      <c r="T829" s="213"/>
      <c r="U829" s="213"/>
      <c r="V829" s="213"/>
      <c r="W829" s="213"/>
      <c r="X829" s="213"/>
      <c r="Y829" s="213"/>
      <c r="Z829" s="213"/>
      <c r="AA829" s="213"/>
      <c r="AB829" s="213"/>
      <c r="AC829" s="213"/>
      <c r="AD829" s="213"/>
    </row>
    <row r="830" ht="15.75" customHeight="1">
      <c r="A830" s="257"/>
      <c r="B830" s="213"/>
      <c r="C830" s="213"/>
      <c r="D830" s="213"/>
      <c r="E830" s="213"/>
      <c r="F830" s="213"/>
      <c r="G830" s="213"/>
      <c r="H830" s="213"/>
      <c r="I830" s="213"/>
      <c r="J830" s="213"/>
      <c r="K830" s="213"/>
      <c r="L830" s="213"/>
      <c r="M830" s="213"/>
      <c r="N830" s="213"/>
      <c r="O830" s="213"/>
      <c r="P830" s="213"/>
      <c r="Q830" s="213"/>
      <c r="R830" s="213"/>
      <c r="S830" s="213"/>
      <c r="T830" s="213"/>
      <c r="U830" s="213"/>
      <c r="V830" s="213"/>
      <c r="W830" s="213"/>
      <c r="X830" s="213"/>
      <c r="Y830" s="213"/>
      <c r="Z830" s="213"/>
      <c r="AA830" s="213"/>
      <c r="AB830" s="213"/>
      <c r="AC830" s="213"/>
      <c r="AD830" s="213"/>
    </row>
    <row r="831" ht="15.75" customHeight="1">
      <c r="A831" s="257"/>
      <c r="B831" s="213"/>
      <c r="C831" s="213"/>
      <c r="D831" s="213"/>
      <c r="E831" s="213"/>
      <c r="F831" s="213"/>
      <c r="G831" s="213"/>
      <c r="H831" s="213"/>
      <c r="I831" s="213"/>
      <c r="J831" s="213"/>
      <c r="K831" s="213"/>
      <c r="L831" s="213"/>
      <c r="M831" s="213"/>
      <c r="N831" s="213"/>
      <c r="O831" s="213"/>
      <c r="P831" s="213"/>
      <c r="Q831" s="213"/>
      <c r="R831" s="213"/>
      <c r="S831" s="213"/>
      <c r="T831" s="213"/>
      <c r="U831" s="213"/>
      <c r="V831" s="213"/>
      <c r="W831" s="213"/>
      <c r="X831" s="213"/>
      <c r="Y831" s="213"/>
      <c r="Z831" s="213"/>
      <c r="AA831" s="213"/>
      <c r="AB831" s="213"/>
      <c r="AC831" s="213"/>
      <c r="AD831" s="213"/>
    </row>
    <row r="832" ht="15.75" customHeight="1">
      <c r="A832" s="257"/>
      <c r="B832" s="213"/>
      <c r="C832" s="213"/>
      <c r="D832" s="213"/>
      <c r="E832" s="213"/>
      <c r="F832" s="213"/>
      <c r="G832" s="213"/>
      <c r="H832" s="213"/>
      <c r="I832" s="213"/>
      <c r="J832" s="213"/>
      <c r="K832" s="213"/>
      <c r="L832" s="213"/>
      <c r="M832" s="213"/>
      <c r="N832" s="213"/>
      <c r="O832" s="213"/>
      <c r="P832" s="213"/>
      <c r="Q832" s="213"/>
      <c r="R832" s="213"/>
      <c r="S832" s="213"/>
      <c r="T832" s="213"/>
      <c r="U832" s="213"/>
      <c r="V832" s="213"/>
      <c r="W832" s="213"/>
      <c r="X832" s="213"/>
      <c r="Y832" s="213"/>
      <c r="Z832" s="213"/>
      <c r="AA832" s="213"/>
      <c r="AB832" s="213"/>
      <c r="AC832" s="213"/>
      <c r="AD832" s="213"/>
    </row>
    <row r="833" ht="15.75" customHeight="1">
      <c r="A833" s="257"/>
      <c r="B833" s="213"/>
      <c r="C833" s="213"/>
      <c r="D833" s="213"/>
      <c r="E833" s="213"/>
      <c r="F833" s="213"/>
      <c r="G833" s="213"/>
      <c r="H833" s="213"/>
      <c r="I833" s="213"/>
      <c r="J833" s="213"/>
      <c r="K833" s="213"/>
      <c r="L833" s="213"/>
      <c r="M833" s="213"/>
      <c r="N833" s="213"/>
      <c r="O833" s="213"/>
      <c r="P833" s="213"/>
      <c r="Q833" s="213"/>
      <c r="R833" s="213"/>
      <c r="S833" s="213"/>
      <c r="T833" s="213"/>
      <c r="U833" s="213"/>
      <c r="V833" s="213"/>
      <c r="W833" s="213"/>
      <c r="X833" s="213"/>
      <c r="Y833" s="213"/>
      <c r="Z833" s="213"/>
      <c r="AA833" s="213"/>
      <c r="AB833" s="213"/>
      <c r="AC833" s="213"/>
      <c r="AD833" s="213"/>
    </row>
    <row r="834" ht="15.75" customHeight="1">
      <c r="A834" s="257"/>
      <c r="B834" s="213"/>
      <c r="C834" s="213"/>
      <c r="D834" s="213"/>
      <c r="E834" s="213"/>
      <c r="F834" s="213"/>
      <c r="G834" s="213"/>
      <c r="H834" s="213"/>
      <c r="I834" s="213"/>
      <c r="J834" s="213"/>
      <c r="K834" s="213"/>
      <c r="L834" s="213"/>
      <c r="M834" s="213"/>
      <c r="N834" s="213"/>
      <c r="O834" s="213"/>
      <c r="P834" s="213"/>
      <c r="Q834" s="213"/>
      <c r="R834" s="213"/>
      <c r="S834" s="213"/>
      <c r="T834" s="213"/>
      <c r="U834" s="213"/>
      <c r="V834" s="213"/>
      <c r="W834" s="213"/>
      <c r="X834" s="213"/>
      <c r="Y834" s="213"/>
      <c r="Z834" s="213"/>
      <c r="AA834" s="213"/>
      <c r="AB834" s="213"/>
      <c r="AC834" s="213"/>
      <c r="AD834" s="213"/>
    </row>
    <row r="835" ht="15.75" customHeight="1">
      <c r="A835" s="257"/>
      <c r="B835" s="213"/>
      <c r="C835" s="213"/>
      <c r="D835" s="213"/>
      <c r="E835" s="213"/>
      <c r="F835" s="213"/>
      <c r="G835" s="213"/>
      <c r="H835" s="213"/>
      <c r="I835" s="213"/>
      <c r="J835" s="213"/>
      <c r="K835" s="213"/>
      <c r="L835" s="213"/>
      <c r="M835" s="213"/>
      <c r="N835" s="213"/>
      <c r="O835" s="213"/>
      <c r="P835" s="213"/>
      <c r="Q835" s="213"/>
      <c r="R835" s="213"/>
      <c r="S835" s="213"/>
      <c r="T835" s="213"/>
      <c r="U835" s="213"/>
      <c r="V835" s="213"/>
      <c r="W835" s="213"/>
      <c r="X835" s="213"/>
      <c r="Y835" s="213"/>
      <c r="Z835" s="213"/>
      <c r="AA835" s="213"/>
      <c r="AB835" s="213"/>
      <c r="AC835" s="213"/>
      <c r="AD835" s="213"/>
    </row>
    <row r="836" ht="15.75" customHeight="1">
      <c r="A836" s="257"/>
      <c r="B836" s="213"/>
      <c r="C836" s="213"/>
      <c r="D836" s="213"/>
      <c r="E836" s="213"/>
      <c r="F836" s="213"/>
      <c r="G836" s="213"/>
      <c r="H836" s="213"/>
      <c r="I836" s="213"/>
      <c r="J836" s="213"/>
      <c r="K836" s="213"/>
      <c r="L836" s="213"/>
      <c r="M836" s="213"/>
      <c r="N836" s="213"/>
      <c r="O836" s="213"/>
      <c r="P836" s="213"/>
      <c r="Q836" s="213"/>
      <c r="R836" s="213"/>
      <c r="S836" s="213"/>
      <c r="T836" s="213"/>
      <c r="U836" s="213"/>
      <c r="V836" s="213"/>
      <c r="W836" s="213"/>
      <c r="X836" s="213"/>
      <c r="Y836" s="213"/>
      <c r="Z836" s="213"/>
      <c r="AA836" s="213"/>
      <c r="AB836" s="213"/>
      <c r="AC836" s="213"/>
      <c r="AD836" s="213"/>
    </row>
    <row r="837" ht="15.75" customHeight="1">
      <c r="A837" s="257"/>
      <c r="B837" s="213"/>
      <c r="C837" s="213"/>
      <c r="D837" s="213"/>
      <c r="E837" s="213"/>
      <c r="F837" s="213"/>
      <c r="G837" s="213"/>
      <c r="H837" s="213"/>
      <c r="I837" s="213"/>
      <c r="J837" s="213"/>
      <c r="K837" s="213"/>
      <c r="L837" s="213"/>
      <c r="M837" s="213"/>
      <c r="N837" s="213"/>
      <c r="O837" s="213"/>
      <c r="P837" s="213"/>
      <c r="Q837" s="213"/>
      <c r="R837" s="213"/>
      <c r="S837" s="213"/>
      <c r="T837" s="213"/>
      <c r="U837" s="213"/>
      <c r="V837" s="213"/>
      <c r="W837" s="213"/>
      <c r="X837" s="213"/>
      <c r="Y837" s="213"/>
      <c r="Z837" s="213"/>
      <c r="AA837" s="213"/>
      <c r="AB837" s="213"/>
      <c r="AC837" s="213"/>
      <c r="AD837" s="213"/>
    </row>
    <row r="838" ht="15.75" customHeight="1">
      <c r="A838" s="257"/>
      <c r="B838" s="213"/>
      <c r="C838" s="213"/>
      <c r="D838" s="213"/>
      <c r="E838" s="213"/>
      <c r="F838" s="213"/>
      <c r="G838" s="213"/>
      <c r="H838" s="213"/>
      <c r="I838" s="213"/>
      <c r="J838" s="213"/>
      <c r="K838" s="213"/>
      <c r="L838" s="213"/>
      <c r="M838" s="213"/>
      <c r="N838" s="213"/>
      <c r="O838" s="213"/>
      <c r="P838" s="213"/>
      <c r="Q838" s="213"/>
      <c r="R838" s="213"/>
      <c r="S838" s="213"/>
      <c r="T838" s="213"/>
      <c r="U838" s="213"/>
      <c r="V838" s="213"/>
      <c r="W838" s="213"/>
      <c r="X838" s="213"/>
      <c r="Y838" s="213"/>
      <c r="Z838" s="213"/>
      <c r="AA838" s="213"/>
      <c r="AB838" s="213"/>
      <c r="AC838" s="213"/>
      <c r="AD838" s="213"/>
    </row>
    <row r="839" ht="15.75" customHeight="1">
      <c r="A839" s="257"/>
      <c r="B839" s="213"/>
      <c r="C839" s="213"/>
      <c r="D839" s="213"/>
      <c r="E839" s="213"/>
      <c r="F839" s="213"/>
      <c r="G839" s="213"/>
      <c r="H839" s="213"/>
      <c r="I839" s="213"/>
      <c r="J839" s="213"/>
      <c r="K839" s="213"/>
      <c r="L839" s="213"/>
      <c r="M839" s="213"/>
      <c r="N839" s="213"/>
      <c r="O839" s="213"/>
      <c r="P839" s="213"/>
      <c r="Q839" s="213"/>
      <c r="R839" s="213"/>
      <c r="S839" s="213"/>
      <c r="T839" s="213"/>
      <c r="U839" s="213"/>
      <c r="V839" s="213"/>
      <c r="W839" s="213"/>
      <c r="X839" s="213"/>
      <c r="Y839" s="213"/>
      <c r="Z839" s="213"/>
      <c r="AA839" s="213"/>
      <c r="AB839" s="213"/>
      <c r="AC839" s="213"/>
      <c r="AD839" s="213"/>
    </row>
    <row r="840" ht="15.75" customHeight="1">
      <c r="A840" s="257"/>
      <c r="B840" s="213"/>
      <c r="C840" s="213"/>
      <c r="D840" s="213"/>
      <c r="E840" s="213"/>
      <c r="F840" s="213"/>
      <c r="G840" s="213"/>
      <c r="H840" s="213"/>
      <c r="I840" s="213"/>
      <c r="J840" s="213"/>
      <c r="K840" s="213"/>
      <c r="L840" s="213"/>
      <c r="M840" s="213"/>
      <c r="N840" s="213"/>
      <c r="O840" s="213"/>
      <c r="P840" s="213"/>
      <c r="Q840" s="213"/>
      <c r="R840" s="213"/>
      <c r="S840" s="213"/>
      <c r="T840" s="213"/>
      <c r="U840" s="213"/>
      <c r="V840" s="213"/>
      <c r="W840" s="213"/>
      <c r="X840" s="213"/>
      <c r="Y840" s="213"/>
      <c r="Z840" s="213"/>
      <c r="AA840" s="213"/>
      <c r="AB840" s="213"/>
      <c r="AC840" s="213"/>
      <c r="AD840" s="213"/>
    </row>
    <row r="841" ht="15.75" customHeight="1">
      <c r="A841" s="257"/>
      <c r="B841" s="213"/>
      <c r="C841" s="213"/>
      <c r="D841" s="213"/>
      <c r="E841" s="213"/>
      <c r="F841" s="213"/>
      <c r="G841" s="213"/>
      <c r="H841" s="213"/>
      <c r="I841" s="213"/>
      <c r="J841" s="213"/>
      <c r="K841" s="213"/>
      <c r="L841" s="213"/>
      <c r="M841" s="213"/>
      <c r="N841" s="213"/>
      <c r="O841" s="213"/>
      <c r="P841" s="213"/>
      <c r="Q841" s="213"/>
      <c r="R841" s="213"/>
      <c r="S841" s="213"/>
      <c r="T841" s="213"/>
      <c r="U841" s="213"/>
      <c r="V841" s="213"/>
      <c r="W841" s="213"/>
      <c r="X841" s="213"/>
      <c r="Y841" s="213"/>
      <c r="Z841" s="213"/>
      <c r="AA841" s="213"/>
      <c r="AB841" s="213"/>
      <c r="AC841" s="213"/>
      <c r="AD841" s="213"/>
    </row>
    <row r="842" ht="15.75" customHeight="1">
      <c r="A842" s="257"/>
      <c r="B842" s="213"/>
      <c r="C842" s="213"/>
      <c r="D842" s="213"/>
      <c r="E842" s="213"/>
      <c r="F842" s="213"/>
      <c r="G842" s="213"/>
      <c r="H842" s="213"/>
      <c r="I842" s="213"/>
      <c r="J842" s="213"/>
      <c r="K842" s="213"/>
      <c r="L842" s="213"/>
      <c r="M842" s="213"/>
      <c r="N842" s="213"/>
      <c r="O842" s="213"/>
      <c r="P842" s="213"/>
      <c r="Q842" s="213"/>
      <c r="R842" s="213"/>
      <c r="S842" s="213"/>
      <c r="T842" s="213"/>
      <c r="U842" s="213"/>
      <c r="V842" s="213"/>
      <c r="W842" s="213"/>
      <c r="X842" s="213"/>
      <c r="Y842" s="213"/>
      <c r="Z842" s="213"/>
      <c r="AA842" s="213"/>
      <c r="AB842" s="213"/>
      <c r="AC842" s="213"/>
      <c r="AD842" s="213"/>
    </row>
    <row r="843" ht="15.75" customHeight="1">
      <c r="A843" s="257"/>
      <c r="B843" s="213"/>
      <c r="C843" s="213"/>
      <c r="D843" s="213"/>
      <c r="E843" s="213"/>
      <c r="F843" s="213"/>
      <c r="G843" s="213"/>
      <c r="H843" s="213"/>
      <c r="I843" s="213"/>
      <c r="J843" s="213"/>
      <c r="K843" s="213"/>
      <c r="L843" s="213"/>
      <c r="M843" s="213"/>
      <c r="N843" s="213"/>
      <c r="O843" s="213"/>
      <c r="P843" s="213"/>
      <c r="Q843" s="213"/>
      <c r="R843" s="213"/>
      <c r="S843" s="213"/>
      <c r="T843" s="213"/>
      <c r="U843" s="213"/>
      <c r="V843" s="213"/>
      <c r="W843" s="213"/>
      <c r="X843" s="213"/>
      <c r="Y843" s="213"/>
      <c r="Z843" s="213"/>
      <c r="AA843" s="213"/>
      <c r="AB843" s="213"/>
      <c r="AC843" s="213"/>
      <c r="AD843" s="213"/>
    </row>
    <row r="844" ht="15.75" customHeight="1">
      <c r="A844" s="257"/>
      <c r="B844" s="213"/>
      <c r="C844" s="213"/>
      <c r="D844" s="213"/>
      <c r="E844" s="213"/>
      <c r="F844" s="213"/>
      <c r="G844" s="213"/>
      <c r="H844" s="213"/>
      <c r="I844" s="213"/>
      <c r="J844" s="213"/>
      <c r="K844" s="213"/>
      <c r="L844" s="213"/>
      <c r="M844" s="213"/>
      <c r="N844" s="213"/>
      <c r="O844" s="213"/>
      <c r="P844" s="213"/>
      <c r="Q844" s="213"/>
      <c r="R844" s="213"/>
      <c r="S844" s="213"/>
      <c r="T844" s="213"/>
      <c r="U844" s="213"/>
      <c r="V844" s="213"/>
      <c r="W844" s="213"/>
      <c r="X844" s="213"/>
      <c r="Y844" s="213"/>
      <c r="Z844" s="213"/>
      <c r="AA844" s="213"/>
      <c r="AB844" s="213"/>
      <c r="AC844" s="213"/>
      <c r="AD844" s="213"/>
    </row>
    <row r="845" ht="15.75" customHeight="1">
      <c r="A845" s="257"/>
      <c r="B845" s="213"/>
      <c r="C845" s="213"/>
      <c r="D845" s="213"/>
      <c r="E845" s="213"/>
      <c r="F845" s="213"/>
      <c r="G845" s="213"/>
      <c r="H845" s="213"/>
      <c r="I845" s="213"/>
      <c r="J845" s="213"/>
      <c r="K845" s="213"/>
      <c r="L845" s="213"/>
      <c r="M845" s="213"/>
      <c r="N845" s="213"/>
      <c r="O845" s="213"/>
      <c r="P845" s="213"/>
      <c r="Q845" s="213"/>
      <c r="R845" s="213"/>
      <c r="S845" s="213"/>
      <c r="T845" s="213"/>
      <c r="U845" s="213"/>
      <c r="V845" s="213"/>
      <c r="W845" s="213"/>
      <c r="X845" s="213"/>
      <c r="Y845" s="213"/>
      <c r="Z845" s="213"/>
      <c r="AA845" s="213"/>
      <c r="AB845" s="213"/>
      <c r="AC845" s="213"/>
      <c r="AD845" s="213"/>
    </row>
    <row r="846" ht="15.75" customHeight="1">
      <c r="A846" s="257"/>
      <c r="B846" s="213"/>
      <c r="C846" s="213"/>
      <c r="D846" s="213"/>
      <c r="E846" s="213"/>
      <c r="F846" s="213"/>
      <c r="G846" s="213"/>
      <c r="H846" s="213"/>
      <c r="I846" s="213"/>
      <c r="J846" s="213"/>
      <c r="K846" s="213"/>
      <c r="L846" s="213"/>
      <c r="M846" s="213"/>
      <c r="N846" s="213"/>
      <c r="O846" s="213"/>
      <c r="P846" s="213"/>
      <c r="Q846" s="213"/>
      <c r="R846" s="213"/>
      <c r="S846" s="213"/>
      <c r="T846" s="213"/>
      <c r="U846" s="213"/>
      <c r="V846" s="213"/>
      <c r="W846" s="213"/>
      <c r="X846" s="213"/>
      <c r="Y846" s="213"/>
      <c r="Z846" s="213"/>
      <c r="AA846" s="213"/>
      <c r="AB846" s="213"/>
      <c r="AC846" s="213"/>
      <c r="AD846" s="213"/>
    </row>
    <row r="847" ht="15.75" customHeight="1">
      <c r="A847" s="257"/>
      <c r="B847" s="213"/>
      <c r="C847" s="213"/>
      <c r="D847" s="213"/>
      <c r="E847" s="213"/>
      <c r="F847" s="213"/>
      <c r="G847" s="213"/>
      <c r="H847" s="213"/>
      <c r="I847" s="213"/>
      <c r="J847" s="213"/>
      <c r="K847" s="213"/>
      <c r="L847" s="213"/>
      <c r="M847" s="213"/>
      <c r="N847" s="213"/>
      <c r="O847" s="213"/>
      <c r="P847" s="213"/>
      <c r="Q847" s="213"/>
      <c r="R847" s="213"/>
      <c r="S847" s="213"/>
      <c r="T847" s="213"/>
      <c r="U847" s="213"/>
      <c r="V847" s="213"/>
      <c r="W847" s="213"/>
      <c r="X847" s="213"/>
      <c r="Y847" s="213"/>
      <c r="Z847" s="213"/>
      <c r="AA847" s="213"/>
      <c r="AB847" s="213"/>
      <c r="AC847" s="213"/>
      <c r="AD847" s="213"/>
    </row>
    <row r="848" ht="15.75" customHeight="1">
      <c r="A848" s="257"/>
      <c r="B848" s="213"/>
      <c r="C848" s="213"/>
      <c r="D848" s="213"/>
      <c r="E848" s="213"/>
      <c r="F848" s="213"/>
      <c r="G848" s="213"/>
      <c r="H848" s="213"/>
      <c r="I848" s="213"/>
      <c r="J848" s="213"/>
      <c r="K848" s="213"/>
      <c r="L848" s="213"/>
      <c r="M848" s="213"/>
      <c r="N848" s="213"/>
      <c r="O848" s="213"/>
      <c r="P848" s="213"/>
      <c r="Q848" s="213"/>
      <c r="R848" s="213"/>
      <c r="S848" s="213"/>
      <c r="T848" s="213"/>
      <c r="U848" s="213"/>
      <c r="V848" s="213"/>
      <c r="W848" s="213"/>
      <c r="X848" s="213"/>
      <c r="Y848" s="213"/>
      <c r="Z848" s="213"/>
      <c r="AA848" s="213"/>
      <c r="AB848" s="213"/>
      <c r="AC848" s="213"/>
      <c r="AD848" s="213"/>
    </row>
    <row r="849" ht="15.75" customHeight="1">
      <c r="A849" s="257"/>
      <c r="B849" s="213"/>
      <c r="C849" s="213"/>
      <c r="D849" s="213"/>
      <c r="E849" s="213"/>
      <c r="F849" s="213"/>
      <c r="G849" s="213"/>
      <c r="H849" s="213"/>
      <c r="I849" s="213"/>
      <c r="J849" s="213"/>
      <c r="K849" s="213"/>
      <c r="L849" s="213"/>
      <c r="M849" s="213"/>
      <c r="N849" s="213"/>
      <c r="O849" s="213"/>
      <c r="P849" s="213"/>
      <c r="Q849" s="213"/>
      <c r="R849" s="213"/>
      <c r="S849" s="213"/>
      <c r="T849" s="213"/>
      <c r="U849" s="213"/>
      <c r="V849" s="213"/>
      <c r="W849" s="213"/>
      <c r="X849" s="213"/>
      <c r="Y849" s="213"/>
      <c r="Z849" s="213"/>
      <c r="AA849" s="213"/>
      <c r="AB849" s="213"/>
      <c r="AC849" s="213"/>
      <c r="AD849" s="213"/>
    </row>
    <row r="850" ht="15.75" customHeight="1">
      <c r="A850" s="257"/>
      <c r="B850" s="213"/>
      <c r="C850" s="213"/>
      <c r="D850" s="213"/>
      <c r="E850" s="213"/>
      <c r="F850" s="213"/>
      <c r="G850" s="213"/>
      <c r="H850" s="213"/>
      <c r="I850" s="213"/>
      <c r="J850" s="213"/>
      <c r="K850" s="213"/>
      <c r="L850" s="213"/>
      <c r="M850" s="213"/>
      <c r="N850" s="213"/>
      <c r="O850" s="213"/>
      <c r="P850" s="213"/>
      <c r="Q850" s="213"/>
      <c r="R850" s="213"/>
      <c r="S850" s="213"/>
      <c r="T850" s="213"/>
      <c r="U850" s="213"/>
      <c r="V850" s="213"/>
      <c r="W850" s="213"/>
      <c r="X850" s="213"/>
      <c r="Y850" s="213"/>
      <c r="Z850" s="213"/>
      <c r="AA850" s="213"/>
      <c r="AB850" s="213"/>
      <c r="AC850" s="213"/>
      <c r="AD850" s="213"/>
    </row>
    <row r="851" ht="15.75" customHeight="1">
      <c r="A851" s="257"/>
      <c r="B851" s="213"/>
      <c r="C851" s="213"/>
      <c r="D851" s="213"/>
      <c r="E851" s="213"/>
      <c r="F851" s="213"/>
      <c r="G851" s="213"/>
      <c r="H851" s="213"/>
      <c r="I851" s="213"/>
      <c r="J851" s="213"/>
      <c r="K851" s="213"/>
      <c r="L851" s="213"/>
      <c r="M851" s="213"/>
      <c r="N851" s="213"/>
      <c r="O851" s="213"/>
      <c r="P851" s="213"/>
      <c r="Q851" s="213"/>
      <c r="R851" s="213"/>
      <c r="S851" s="213"/>
      <c r="T851" s="213"/>
      <c r="U851" s="213"/>
      <c r="V851" s="213"/>
      <c r="W851" s="213"/>
      <c r="X851" s="213"/>
      <c r="Y851" s="213"/>
      <c r="Z851" s="213"/>
      <c r="AA851" s="213"/>
      <c r="AB851" s="213"/>
      <c r="AC851" s="213"/>
      <c r="AD851" s="213"/>
    </row>
    <row r="852" ht="15.75" customHeight="1">
      <c r="A852" s="257"/>
      <c r="B852" s="213"/>
      <c r="C852" s="213"/>
      <c r="D852" s="213"/>
      <c r="E852" s="213"/>
      <c r="F852" s="213"/>
      <c r="G852" s="213"/>
      <c r="H852" s="213"/>
      <c r="I852" s="213"/>
      <c r="J852" s="213"/>
      <c r="K852" s="213"/>
      <c r="L852" s="213"/>
      <c r="M852" s="213"/>
      <c r="N852" s="213"/>
      <c r="O852" s="213"/>
      <c r="P852" s="213"/>
      <c r="Q852" s="213"/>
      <c r="R852" s="213"/>
      <c r="S852" s="213"/>
      <c r="T852" s="213"/>
      <c r="U852" s="213"/>
      <c r="V852" s="213"/>
      <c r="W852" s="213"/>
      <c r="X852" s="213"/>
      <c r="Y852" s="213"/>
      <c r="Z852" s="213"/>
      <c r="AA852" s="213"/>
      <c r="AB852" s="213"/>
      <c r="AC852" s="213"/>
      <c r="AD852" s="213"/>
    </row>
    <row r="853" ht="15.75" customHeight="1">
      <c r="A853" s="257"/>
      <c r="B853" s="213"/>
      <c r="C853" s="213"/>
      <c r="D853" s="213"/>
      <c r="E853" s="213"/>
      <c r="F853" s="213"/>
      <c r="G853" s="213"/>
      <c r="H853" s="213"/>
      <c r="I853" s="213"/>
      <c r="J853" s="213"/>
      <c r="K853" s="213"/>
      <c r="L853" s="213"/>
      <c r="M853" s="213"/>
      <c r="N853" s="213"/>
      <c r="O853" s="213"/>
      <c r="P853" s="213"/>
      <c r="Q853" s="213"/>
      <c r="R853" s="213"/>
      <c r="S853" s="213"/>
      <c r="T853" s="213"/>
      <c r="U853" s="213"/>
      <c r="V853" s="213"/>
      <c r="W853" s="213"/>
      <c r="X853" s="213"/>
      <c r="Y853" s="213"/>
      <c r="Z853" s="213"/>
      <c r="AA853" s="213"/>
      <c r="AB853" s="213"/>
      <c r="AC853" s="213"/>
      <c r="AD853" s="213"/>
    </row>
    <row r="854" ht="15.75" customHeight="1">
      <c r="A854" s="257"/>
      <c r="B854" s="213"/>
      <c r="C854" s="213"/>
      <c r="D854" s="213"/>
      <c r="E854" s="213"/>
      <c r="F854" s="213"/>
      <c r="G854" s="213"/>
      <c r="H854" s="213"/>
      <c r="I854" s="213"/>
      <c r="J854" s="213"/>
      <c r="K854" s="213"/>
      <c r="L854" s="213"/>
      <c r="M854" s="213"/>
      <c r="N854" s="213"/>
      <c r="O854" s="213"/>
      <c r="P854" s="213"/>
      <c r="Q854" s="213"/>
      <c r="R854" s="213"/>
      <c r="S854" s="213"/>
      <c r="T854" s="213"/>
      <c r="U854" s="213"/>
      <c r="V854" s="213"/>
      <c r="W854" s="213"/>
      <c r="X854" s="213"/>
      <c r="Y854" s="213"/>
      <c r="Z854" s="213"/>
      <c r="AA854" s="213"/>
      <c r="AB854" s="213"/>
      <c r="AC854" s="213"/>
      <c r="AD854" s="213"/>
    </row>
    <row r="855" ht="15.75" customHeight="1">
      <c r="A855" s="257"/>
      <c r="B855" s="213"/>
      <c r="C855" s="213"/>
      <c r="D855" s="213"/>
      <c r="E855" s="213"/>
      <c r="F855" s="213"/>
      <c r="G855" s="213"/>
      <c r="H855" s="213"/>
      <c r="I855" s="213"/>
      <c r="J855" s="213"/>
      <c r="K855" s="213"/>
      <c r="L855" s="213"/>
      <c r="M855" s="213"/>
      <c r="N855" s="213"/>
      <c r="O855" s="213"/>
      <c r="P855" s="213"/>
      <c r="Q855" s="213"/>
      <c r="R855" s="213"/>
      <c r="S855" s="213"/>
      <c r="T855" s="213"/>
      <c r="U855" s="213"/>
      <c r="V855" s="213"/>
      <c r="W855" s="213"/>
      <c r="X855" s="213"/>
      <c r="Y855" s="213"/>
      <c r="Z855" s="213"/>
      <c r="AA855" s="213"/>
      <c r="AB855" s="213"/>
      <c r="AC855" s="213"/>
      <c r="AD855" s="213"/>
    </row>
    <row r="856" ht="15.75" customHeight="1">
      <c r="A856" s="257"/>
      <c r="B856" s="213"/>
      <c r="C856" s="213"/>
      <c r="D856" s="213"/>
      <c r="E856" s="213"/>
      <c r="F856" s="213"/>
      <c r="G856" s="213"/>
      <c r="H856" s="213"/>
      <c r="I856" s="213"/>
      <c r="J856" s="213"/>
      <c r="K856" s="213"/>
      <c r="L856" s="213"/>
      <c r="M856" s="213"/>
      <c r="N856" s="213"/>
      <c r="O856" s="213"/>
      <c r="P856" s="213"/>
      <c r="Q856" s="213"/>
      <c r="R856" s="213"/>
      <c r="S856" s="213"/>
      <c r="T856" s="213"/>
      <c r="U856" s="213"/>
      <c r="V856" s="213"/>
      <c r="W856" s="213"/>
      <c r="X856" s="213"/>
      <c r="Y856" s="213"/>
      <c r="Z856" s="213"/>
      <c r="AA856" s="213"/>
      <c r="AB856" s="213"/>
      <c r="AC856" s="213"/>
      <c r="AD856" s="213"/>
    </row>
    <row r="857" ht="15.75" customHeight="1">
      <c r="A857" s="257"/>
      <c r="B857" s="213"/>
      <c r="C857" s="213"/>
      <c r="D857" s="213"/>
      <c r="E857" s="213"/>
      <c r="F857" s="213"/>
      <c r="G857" s="213"/>
      <c r="H857" s="213"/>
      <c r="I857" s="213"/>
      <c r="J857" s="213"/>
      <c r="K857" s="213"/>
      <c r="L857" s="213"/>
      <c r="M857" s="213"/>
      <c r="N857" s="213"/>
      <c r="O857" s="213"/>
      <c r="P857" s="213"/>
      <c r="Q857" s="213"/>
      <c r="R857" s="213"/>
      <c r="S857" s="213"/>
      <c r="T857" s="213"/>
      <c r="U857" s="213"/>
      <c r="V857" s="213"/>
      <c r="W857" s="213"/>
      <c r="X857" s="213"/>
      <c r="Y857" s="213"/>
      <c r="Z857" s="213"/>
      <c r="AA857" s="213"/>
      <c r="AB857" s="213"/>
      <c r="AC857" s="213"/>
      <c r="AD857" s="213"/>
    </row>
    <row r="858" ht="15.75" customHeight="1">
      <c r="A858" s="257"/>
      <c r="B858" s="213"/>
      <c r="C858" s="213"/>
      <c r="D858" s="213"/>
      <c r="E858" s="213"/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  <c r="Q858" s="213"/>
      <c r="R858" s="213"/>
      <c r="S858" s="213"/>
      <c r="T858" s="213"/>
      <c r="U858" s="213"/>
      <c r="V858" s="213"/>
      <c r="W858" s="213"/>
      <c r="X858" s="213"/>
      <c r="Y858" s="213"/>
      <c r="Z858" s="213"/>
      <c r="AA858" s="213"/>
      <c r="AB858" s="213"/>
      <c r="AC858" s="213"/>
      <c r="AD858" s="213"/>
    </row>
    <row r="859" ht="15.75" customHeight="1">
      <c r="A859" s="257"/>
      <c r="B859" s="213"/>
      <c r="C859" s="213"/>
      <c r="D859" s="213"/>
      <c r="E859" s="213"/>
      <c r="F859" s="213"/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  <c r="Q859" s="213"/>
      <c r="R859" s="213"/>
      <c r="S859" s="213"/>
      <c r="T859" s="213"/>
      <c r="U859" s="213"/>
      <c r="V859" s="213"/>
      <c r="W859" s="213"/>
      <c r="X859" s="213"/>
      <c r="Y859" s="213"/>
      <c r="Z859" s="213"/>
      <c r="AA859" s="213"/>
      <c r="AB859" s="213"/>
      <c r="AC859" s="213"/>
      <c r="AD859" s="213"/>
    </row>
    <row r="860" ht="15.75" customHeight="1">
      <c r="A860" s="257"/>
      <c r="B860" s="213"/>
      <c r="C860" s="213"/>
      <c r="D860" s="213"/>
      <c r="E860" s="213"/>
      <c r="F860" s="213"/>
      <c r="G860" s="213"/>
      <c r="H860" s="213"/>
      <c r="I860" s="213"/>
      <c r="J860" s="213"/>
      <c r="K860" s="213"/>
      <c r="L860" s="213"/>
      <c r="M860" s="213"/>
      <c r="N860" s="213"/>
      <c r="O860" s="213"/>
      <c r="P860" s="213"/>
      <c r="Q860" s="213"/>
      <c r="R860" s="213"/>
      <c r="S860" s="213"/>
      <c r="T860" s="213"/>
      <c r="U860" s="213"/>
      <c r="V860" s="213"/>
      <c r="W860" s="213"/>
      <c r="X860" s="213"/>
      <c r="Y860" s="213"/>
      <c r="Z860" s="213"/>
      <c r="AA860" s="213"/>
      <c r="AB860" s="213"/>
      <c r="AC860" s="213"/>
      <c r="AD860" s="213"/>
    </row>
    <row r="861" ht="15.75" customHeight="1">
      <c r="A861" s="257"/>
      <c r="B861" s="213"/>
      <c r="C861" s="213"/>
      <c r="D861" s="213"/>
      <c r="E861" s="213"/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  <c r="Q861" s="213"/>
      <c r="R861" s="213"/>
      <c r="S861" s="213"/>
      <c r="T861" s="213"/>
      <c r="U861" s="213"/>
      <c r="V861" s="213"/>
      <c r="W861" s="213"/>
      <c r="X861" s="213"/>
      <c r="Y861" s="213"/>
      <c r="Z861" s="213"/>
      <c r="AA861" s="213"/>
      <c r="AB861" s="213"/>
      <c r="AC861" s="213"/>
      <c r="AD861" s="213"/>
    </row>
    <row r="862" ht="15.75" customHeight="1">
      <c r="A862" s="257"/>
      <c r="B862" s="213"/>
      <c r="C862" s="213"/>
      <c r="D862" s="213"/>
      <c r="E862" s="213"/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  <c r="Q862" s="213"/>
      <c r="R862" s="213"/>
      <c r="S862" s="213"/>
      <c r="T862" s="213"/>
      <c r="U862" s="213"/>
      <c r="V862" s="213"/>
      <c r="W862" s="213"/>
      <c r="X862" s="213"/>
      <c r="Y862" s="213"/>
      <c r="Z862" s="213"/>
      <c r="AA862" s="213"/>
      <c r="AB862" s="213"/>
      <c r="AC862" s="213"/>
      <c r="AD862" s="213"/>
    </row>
    <row r="863" ht="15.75" customHeight="1">
      <c r="A863" s="257"/>
      <c r="B863" s="213"/>
      <c r="C863" s="213"/>
      <c r="D863" s="213"/>
      <c r="E863" s="213"/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  <c r="Q863" s="213"/>
      <c r="R863" s="213"/>
      <c r="S863" s="213"/>
      <c r="T863" s="213"/>
      <c r="U863" s="213"/>
      <c r="V863" s="213"/>
      <c r="W863" s="213"/>
      <c r="X863" s="213"/>
      <c r="Y863" s="213"/>
      <c r="Z863" s="213"/>
      <c r="AA863" s="213"/>
      <c r="AB863" s="213"/>
      <c r="AC863" s="213"/>
      <c r="AD863" s="213"/>
    </row>
    <row r="864" ht="15.75" customHeight="1">
      <c r="A864" s="257"/>
      <c r="B864" s="213"/>
      <c r="C864" s="213"/>
      <c r="D864" s="213"/>
      <c r="E864" s="213"/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  <c r="Q864" s="213"/>
      <c r="R864" s="213"/>
      <c r="S864" s="213"/>
      <c r="T864" s="213"/>
      <c r="U864" s="213"/>
      <c r="V864" s="213"/>
      <c r="W864" s="213"/>
      <c r="X864" s="213"/>
      <c r="Y864" s="213"/>
      <c r="Z864" s="213"/>
      <c r="AA864" s="213"/>
      <c r="AB864" s="213"/>
      <c r="AC864" s="213"/>
      <c r="AD864" s="213"/>
    </row>
    <row r="865" ht="15.75" customHeight="1">
      <c r="A865" s="257"/>
      <c r="B865" s="213"/>
      <c r="C865" s="213"/>
      <c r="D865" s="213"/>
      <c r="E865" s="213"/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  <c r="Q865" s="213"/>
      <c r="R865" s="213"/>
      <c r="S865" s="213"/>
      <c r="T865" s="213"/>
      <c r="U865" s="213"/>
      <c r="V865" s="213"/>
      <c r="W865" s="213"/>
      <c r="X865" s="213"/>
      <c r="Y865" s="213"/>
      <c r="Z865" s="213"/>
      <c r="AA865" s="213"/>
      <c r="AB865" s="213"/>
      <c r="AC865" s="213"/>
      <c r="AD865" s="213"/>
    </row>
    <row r="866" ht="15.75" customHeight="1">
      <c r="A866" s="257"/>
      <c r="B866" s="213"/>
      <c r="C866" s="213"/>
      <c r="D866" s="213"/>
      <c r="E866" s="213"/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  <c r="Q866" s="213"/>
      <c r="R866" s="213"/>
      <c r="S866" s="213"/>
      <c r="T866" s="213"/>
      <c r="U866" s="213"/>
      <c r="V866" s="213"/>
      <c r="W866" s="213"/>
      <c r="X866" s="213"/>
      <c r="Y866" s="213"/>
      <c r="Z866" s="213"/>
      <c r="AA866" s="213"/>
      <c r="AB866" s="213"/>
      <c r="AC866" s="213"/>
      <c r="AD866" s="213"/>
    </row>
    <row r="867" ht="15.75" customHeight="1">
      <c r="A867" s="257"/>
      <c r="B867" s="213"/>
      <c r="C867" s="213"/>
      <c r="D867" s="213"/>
      <c r="E867" s="213"/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  <c r="Q867" s="213"/>
      <c r="R867" s="213"/>
      <c r="S867" s="213"/>
      <c r="T867" s="213"/>
      <c r="U867" s="213"/>
      <c r="V867" s="213"/>
      <c r="W867" s="213"/>
      <c r="X867" s="213"/>
      <c r="Y867" s="213"/>
      <c r="Z867" s="213"/>
      <c r="AA867" s="213"/>
      <c r="AB867" s="213"/>
      <c r="AC867" s="213"/>
      <c r="AD867" s="213"/>
    </row>
    <row r="868" ht="15.75" customHeight="1">
      <c r="A868" s="257"/>
      <c r="B868" s="213"/>
      <c r="C868" s="213"/>
      <c r="D868" s="213"/>
      <c r="E868" s="213"/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  <c r="Q868" s="213"/>
      <c r="R868" s="213"/>
      <c r="S868" s="213"/>
      <c r="T868" s="213"/>
      <c r="U868" s="213"/>
      <c r="V868" s="213"/>
      <c r="W868" s="213"/>
      <c r="X868" s="213"/>
      <c r="Y868" s="213"/>
      <c r="Z868" s="213"/>
      <c r="AA868" s="213"/>
      <c r="AB868" s="213"/>
      <c r="AC868" s="213"/>
      <c r="AD868" s="213"/>
    </row>
    <row r="869" ht="15.75" customHeight="1">
      <c r="A869" s="257"/>
      <c r="B869" s="213"/>
      <c r="C869" s="213"/>
      <c r="D869" s="213"/>
      <c r="E869" s="213"/>
      <c r="F869" s="213"/>
      <c r="G869" s="213"/>
      <c r="H869" s="213"/>
      <c r="I869" s="213"/>
      <c r="J869" s="213"/>
      <c r="K869" s="213"/>
      <c r="L869" s="213"/>
      <c r="M869" s="213"/>
      <c r="N869" s="213"/>
      <c r="O869" s="213"/>
      <c r="P869" s="213"/>
      <c r="Q869" s="213"/>
      <c r="R869" s="213"/>
      <c r="S869" s="213"/>
      <c r="T869" s="213"/>
      <c r="U869" s="213"/>
      <c r="V869" s="213"/>
      <c r="W869" s="213"/>
      <c r="X869" s="213"/>
      <c r="Y869" s="213"/>
      <c r="Z869" s="213"/>
      <c r="AA869" s="213"/>
      <c r="AB869" s="213"/>
      <c r="AC869" s="213"/>
      <c r="AD869" s="213"/>
    </row>
    <row r="870" ht="15.75" customHeight="1">
      <c r="A870" s="257"/>
      <c r="B870" s="213"/>
      <c r="C870" s="213"/>
      <c r="D870" s="213"/>
      <c r="E870" s="213"/>
      <c r="F870" s="213"/>
      <c r="G870" s="213"/>
      <c r="H870" s="213"/>
      <c r="I870" s="213"/>
      <c r="J870" s="213"/>
      <c r="K870" s="213"/>
      <c r="L870" s="213"/>
      <c r="M870" s="213"/>
      <c r="N870" s="213"/>
      <c r="O870" s="213"/>
      <c r="P870" s="213"/>
      <c r="Q870" s="213"/>
      <c r="R870" s="213"/>
      <c r="S870" s="213"/>
      <c r="T870" s="213"/>
      <c r="U870" s="213"/>
      <c r="V870" s="213"/>
      <c r="W870" s="213"/>
      <c r="X870" s="213"/>
      <c r="Y870" s="213"/>
      <c r="Z870" s="213"/>
      <c r="AA870" s="213"/>
      <c r="AB870" s="213"/>
      <c r="AC870" s="213"/>
      <c r="AD870" s="213"/>
    </row>
    <row r="871" ht="15.75" customHeight="1">
      <c r="A871" s="257"/>
      <c r="B871" s="213"/>
      <c r="C871" s="213"/>
      <c r="D871" s="213"/>
      <c r="E871" s="213"/>
      <c r="F871" s="213"/>
      <c r="G871" s="213"/>
      <c r="H871" s="213"/>
      <c r="I871" s="213"/>
      <c r="J871" s="213"/>
      <c r="K871" s="213"/>
      <c r="L871" s="213"/>
      <c r="M871" s="213"/>
      <c r="N871" s="213"/>
      <c r="O871" s="213"/>
      <c r="P871" s="213"/>
      <c r="Q871" s="213"/>
      <c r="R871" s="213"/>
      <c r="S871" s="213"/>
      <c r="T871" s="213"/>
      <c r="U871" s="213"/>
      <c r="V871" s="213"/>
      <c r="W871" s="213"/>
      <c r="X871" s="213"/>
      <c r="Y871" s="213"/>
      <c r="Z871" s="213"/>
      <c r="AA871" s="213"/>
      <c r="AB871" s="213"/>
      <c r="AC871" s="213"/>
      <c r="AD871" s="213"/>
    </row>
    <row r="872" ht="15.75" customHeight="1">
      <c r="A872" s="257"/>
      <c r="B872" s="213"/>
      <c r="C872" s="213"/>
      <c r="D872" s="213"/>
      <c r="E872" s="213"/>
      <c r="F872" s="213"/>
      <c r="G872" s="213"/>
      <c r="H872" s="213"/>
      <c r="I872" s="213"/>
      <c r="J872" s="213"/>
      <c r="K872" s="213"/>
      <c r="L872" s="213"/>
      <c r="M872" s="213"/>
      <c r="N872" s="213"/>
      <c r="O872" s="213"/>
      <c r="P872" s="213"/>
      <c r="Q872" s="213"/>
      <c r="R872" s="213"/>
      <c r="S872" s="213"/>
      <c r="T872" s="213"/>
      <c r="U872" s="213"/>
      <c r="V872" s="213"/>
      <c r="W872" s="213"/>
      <c r="X872" s="213"/>
      <c r="Y872" s="213"/>
      <c r="Z872" s="213"/>
      <c r="AA872" s="213"/>
      <c r="AB872" s="213"/>
      <c r="AC872" s="213"/>
      <c r="AD872" s="213"/>
    </row>
    <row r="873" ht="15.75" customHeight="1">
      <c r="A873" s="257"/>
      <c r="B873" s="213"/>
      <c r="C873" s="213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  <c r="Q873" s="213"/>
      <c r="R873" s="213"/>
      <c r="S873" s="213"/>
      <c r="T873" s="213"/>
      <c r="U873" s="213"/>
      <c r="V873" s="213"/>
      <c r="W873" s="213"/>
      <c r="X873" s="213"/>
      <c r="Y873" s="213"/>
      <c r="Z873" s="213"/>
      <c r="AA873" s="213"/>
      <c r="AB873" s="213"/>
      <c r="AC873" s="213"/>
      <c r="AD873" s="213"/>
    </row>
    <row r="874" ht="15.75" customHeight="1">
      <c r="A874" s="257"/>
      <c r="B874" s="213"/>
      <c r="C874" s="213"/>
      <c r="D874" s="213"/>
      <c r="E874" s="213"/>
      <c r="F874" s="213"/>
      <c r="G874" s="213"/>
      <c r="H874" s="213"/>
      <c r="I874" s="213"/>
      <c r="J874" s="213"/>
      <c r="K874" s="213"/>
      <c r="L874" s="213"/>
      <c r="M874" s="213"/>
      <c r="N874" s="213"/>
      <c r="O874" s="213"/>
      <c r="P874" s="213"/>
      <c r="Q874" s="213"/>
      <c r="R874" s="213"/>
      <c r="S874" s="213"/>
      <c r="T874" s="213"/>
      <c r="U874" s="213"/>
      <c r="V874" s="213"/>
      <c r="W874" s="213"/>
      <c r="X874" s="213"/>
      <c r="Y874" s="213"/>
      <c r="Z874" s="213"/>
      <c r="AA874" s="213"/>
      <c r="AB874" s="213"/>
      <c r="AC874" s="213"/>
      <c r="AD874" s="213"/>
    </row>
    <row r="875" ht="15.75" customHeight="1">
      <c r="A875" s="257"/>
      <c r="B875" s="213"/>
      <c r="C875" s="213"/>
      <c r="D875" s="213"/>
      <c r="E875" s="213"/>
      <c r="F875" s="213"/>
      <c r="G875" s="213"/>
      <c r="H875" s="213"/>
      <c r="I875" s="213"/>
      <c r="J875" s="213"/>
      <c r="K875" s="213"/>
      <c r="L875" s="213"/>
      <c r="M875" s="213"/>
      <c r="N875" s="213"/>
      <c r="O875" s="213"/>
      <c r="P875" s="213"/>
      <c r="Q875" s="213"/>
      <c r="R875" s="213"/>
      <c r="S875" s="213"/>
      <c r="T875" s="213"/>
      <c r="U875" s="213"/>
      <c r="V875" s="213"/>
      <c r="W875" s="213"/>
      <c r="X875" s="213"/>
      <c r="Y875" s="213"/>
      <c r="Z875" s="213"/>
      <c r="AA875" s="213"/>
      <c r="AB875" s="213"/>
      <c r="AC875" s="213"/>
      <c r="AD875" s="213"/>
    </row>
    <row r="876" ht="15.75" customHeight="1">
      <c r="A876" s="257"/>
      <c r="B876" s="213"/>
      <c r="C876" s="213"/>
      <c r="D876" s="213"/>
      <c r="E876" s="213"/>
      <c r="F876" s="213"/>
      <c r="G876" s="213"/>
      <c r="H876" s="213"/>
      <c r="I876" s="213"/>
      <c r="J876" s="213"/>
      <c r="K876" s="213"/>
      <c r="L876" s="213"/>
      <c r="M876" s="213"/>
      <c r="N876" s="213"/>
      <c r="O876" s="213"/>
      <c r="P876" s="213"/>
      <c r="Q876" s="213"/>
      <c r="R876" s="213"/>
      <c r="S876" s="213"/>
      <c r="T876" s="213"/>
      <c r="U876" s="213"/>
      <c r="V876" s="213"/>
      <c r="W876" s="213"/>
      <c r="X876" s="213"/>
      <c r="Y876" s="213"/>
      <c r="Z876" s="213"/>
      <c r="AA876" s="213"/>
      <c r="AB876" s="213"/>
      <c r="AC876" s="213"/>
      <c r="AD876" s="213"/>
    </row>
    <row r="877" ht="15.75" customHeight="1">
      <c r="A877" s="257"/>
      <c r="B877" s="213"/>
      <c r="C877" s="213"/>
      <c r="D877" s="213"/>
      <c r="E877" s="213"/>
      <c r="F877" s="213"/>
      <c r="G877" s="213"/>
      <c r="H877" s="213"/>
      <c r="I877" s="213"/>
      <c r="J877" s="213"/>
      <c r="K877" s="213"/>
      <c r="L877" s="213"/>
      <c r="M877" s="213"/>
      <c r="N877" s="213"/>
      <c r="O877" s="213"/>
      <c r="P877" s="213"/>
      <c r="Q877" s="213"/>
      <c r="R877" s="213"/>
      <c r="S877" s="213"/>
      <c r="T877" s="213"/>
      <c r="U877" s="213"/>
      <c r="V877" s="213"/>
      <c r="W877" s="213"/>
      <c r="X877" s="213"/>
      <c r="Y877" s="213"/>
      <c r="Z877" s="213"/>
      <c r="AA877" s="213"/>
      <c r="AB877" s="213"/>
      <c r="AC877" s="213"/>
      <c r="AD877" s="213"/>
    </row>
    <row r="878" ht="15.75" customHeight="1">
      <c r="A878" s="257"/>
      <c r="B878" s="213"/>
      <c r="C878" s="213"/>
      <c r="D878" s="213"/>
      <c r="E878" s="213"/>
      <c r="F878" s="213"/>
      <c r="G878" s="213"/>
      <c r="H878" s="213"/>
      <c r="I878" s="213"/>
      <c r="J878" s="213"/>
      <c r="K878" s="213"/>
      <c r="L878" s="213"/>
      <c r="M878" s="213"/>
      <c r="N878" s="213"/>
      <c r="O878" s="213"/>
      <c r="P878" s="213"/>
      <c r="Q878" s="213"/>
      <c r="R878" s="213"/>
      <c r="S878" s="213"/>
      <c r="T878" s="213"/>
      <c r="U878" s="213"/>
      <c r="V878" s="213"/>
      <c r="W878" s="213"/>
      <c r="X878" s="213"/>
      <c r="Y878" s="213"/>
      <c r="Z878" s="213"/>
      <c r="AA878" s="213"/>
      <c r="AB878" s="213"/>
      <c r="AC878" s="213"/>
      <c r="AD878" s="213"/>
    </row>
    <row r="879" ht="15.75" customHeight="1">
      <c r="A879" s="257"/>
      <c r="B879" s="213"/>
      <c r="C879" s="213"/>
      <c r="D879" s="213"/>
      <c r="E879" s="213"/>
      <c r="F879" s="213"/>
      <c r="G879" s="213"/>
      <c r="H879" s="213"/>
      <c r="I879" s="213"/>
      <c r="J879" s="213"/>
      <c r="K879" s="213"/>
      <c r="L879" s="213"/>
      <c r="M879" s="213"/>
      <c r="N879" s="213"/>
      <c r="O879" s="213"/>
      <c r="P879" s="213"/>
      <c r="Q879" s="213"/>
      <c r="R879" s="213"/>
      <c r="S879" s="213"/>
      <c r="T879" s="213"/>
      <c r="U879" s="213"/>
      <c r="V879" s="213"/>
      <c r="W879" s="213"/>
      <c r="X879" s="213"/>
      <c r="Y879" s="213"/>
      <c r="Z879" s="213"/>
      <c r="AA879" s="213"/>
      <c r="AB879" s="213"/>
      <c r="AC879" s="213"/>
      <c r="AD879" s="213"/>
    </row>
    <row r="880" ht="15.75" customHeight="1">
      <c r="A880" s="257"/>
      <c r="B880" s="213"/>
      <c r="C880" s="213"/>
      <c r="D880" s="213"/>
      <c r="E880" s="213"/>
      <c r="F880" s="213"/>
      <c r="G880" s="213"/>
      <c r="H880" s="213"/>
      <c r="I880" s="213"/>
      <c r="J880" s="213"/>
      <c r="K880" s="213"/>
      <c r="L880" s="213"/>
      <c r="M880" s="213"/>
      <c r="N880" s="213"/>
      <c r="O880" s="213"/>
      <c r="P880" s="213"/>
      <c r="Q880" s="213"/>
      <c r="R880" s="213"/>
      <c r="S880" s="213"/>
      <c r="T880" s="213"/>
      <c r="U880" s="213"/>
      <c r="V880" s="213"/>
      <c r="W880" s="213"/>
      <c r="X880" s="213"/>
      <c r="Y880" s="213"/>
      <c r="Z880" s="213"/>
      <c r="AA880" s="213"/>
      <c r="AB880" s="213"/>
      <c r="AC880" s="213"/>
      <c r="AD880" s="213"/>
    </row>
    <row r="881" ht="15.75" customHeight="1">
      <c r="A881" s="257"/>
      <c r="B881" s="213"/>
      <c r="C881" s="213"/>
      <c r="D881" s="213"/>
      <c r="E881" s="213"/>
      <c r="F881" s="213"/>
      <c r="G881" s="213"/>
      <c r="H881" s="213"/>
      <c r="I881" s="213"/>
      <c r="J881" s="213"/>
      <c r="K881" s="213"/>
      <c r="L881" s="213"/>
      <c r="M881" s="213"/>
      <c r="N881" s="213"/>
      <c r="O881" s="213"/>
      <c r="P881" s="213"/>
      <c r="Q881" s="213"/>
      <c r="R881" s="213"/>
      <c r="S881" s="213"/>
      <c r="T881" s="213"/>
      <c r="U881" s="213"/>
      <c r="V881" s="213"/>
      <c r="W881" s="213"/>
      <c r="X881" s="213"/>
      <c r="Y881" s="213"/>
      <c r="Z881" s="213"/>
      <c r="AA881" s="213"/>
      <c r="AB881" s="213"/>
      <c r="AC881" s="213"/>
      <c r="AD881" s="213"/>
    </row>
    <row r="882" ht="15.75" customHeight="1">
      <c r="A882" s="257"/>
      <c r="B882" s="213"/>
      <c r="C882" s="213"/>
      <c r="D882" s="213"/>
      <c r="E882" s="213"/>
      <c r="F882" s="213"/>
      <c r="G882" s="213"/>
      <c r="H882" s="213"/>
      <c r="I882" s="213"/>
      <c r="J882" s="213"/>
      <c r="K882" s="213"/>
      <c r="L882" s="213"/>
      <c r="M882" s="213"/>
      <c r="N882" s="213"/>
      <c r="O882" s="213"/>
      <c r="P882" s="213"/>
      <c r="Q882" s="213"/>
      <c r="R882" s="213"/>
      <c r="S882" s="213"/>
      <c r="T882" s="213"/>
      <c r="U882" s="213"/>
      <c r="V882" s="213"/>
      <c r="W882" s="213"/>
      <c r="X882" s="213"/>
      <c r="Y882" s="213"/>
      <c r="Z882" s="213"/>
      <c r="AA882" s="213"/>
      <c r="AB882" s="213"/>
      <c r="AC882" s="213"/>
      <c r="AD882" s="213"/>
    </row>
    <row r="883" ht="15.75" customHeight="1">
      <c r="A883" s="257"/>
      <c r="B883" s="213"/>
      <c r="C883" s="213"/>
      <c r="D883" s="213"/>
      <c r="E883" s="213"/>
      <c r="F883" s="213"/>
      <c r="G883" s="213"/>
      <c r="H883" s="213"/>
      <c r="I883" s="213"/>
      <c r="J883" s="213"/>
      <c r="K883" s="213"/>
      <c r="L883" s="213"/>
      <c r="M883" s="213"/>
      <c r="N883" s="213"/>
      <c r="O883" s="213"/>
      <c r="P883" s="213"/>
      <c r="Q883" s="213"/>
      <c r="R883" s="213"/>
      <c r="S883" s="213"/>
      <c r="T883" s="213"/>
      <c r="U883" s="213"/>
      <c r="V883" s="213"/>
      <c r="W883" s="213"/>
      <c r="X883" s="213"/>
      <c r="Y883" s="213"/>
      <c r="Z883" s="213"/>
      <c r="AA883" s="213"/>
      <c r="AB883" s="213"/>
      <c r="AC883" s="213"/>
      <c r="AD883" s="213"/>
    </row>
    <row r="884" ht="15.75" customHeight="1">
      <c r="A884" s="257"/>
      <c r="B884" s="213"/>
      <c r="C884" s="213"/>
      <c r="D884" s="213"/>
      <c r="E884" s="213"/>
      <c r="F884" s="213"/>
      <c r="G884" s="213"/>
      <c r="H884" s="213"/>
      <c r="I884" s="213"/>
      <c r="J884" s="213"/>
      <c r="K884" s="213"/>
      <c r="L884" s="213"/>
      <c r="M884" s="213"/>
      <c r="N884" s="213"/>
      <c r="O884" s="213"/>
      <c r="P884" s="213"/>
      <c r="Q884" s="213"/>
      <c r="R884" s="213"/>
      <c r="S884" s="213"/>
      <c r="T884" s="213"/>
      <c r="U884" s="213"/>
      <c r="V884" s="213"/>
      <c r="W884" s="213"/>
      <c r="X884" s="213"/>
      <c r="Y884" s="213"/>
      <c r="Z884" s="213"/>
      <c r="AA884" s="213"/>
      <c r="AB884" s="213"/>
      <c r="AC884" s="213"/>
      <c r="AD884" s="213"/>
    </row>
    <row r="885" ht="15.75" customHeight="1">
      <c r="A885" s="257"/>
      <c r="B885" s="213"/>
      <c r="C885" s="213"/>
      <c r="D885" s="213"/>
      <c r="E885" s="213"/>
      <c r="F885" s="213"/>
      <c r="G885" s="213"/>
      <c r="H885" s="213"/>
      <c r="I885" s="213"/>
      <c r="J885" s="213"/>
      <c r="K885" s="213"/>
      <c r="L885" s="213"/>
      <c r="M885" s="213"/>
      <c r="N885" s="213"/>
      <c r="O885" s="213"/>
      <c r="P885" s="213"/>
      <c r="Q885" s="213"/>
      <c r="R885" s="213"/>
      <c r="S885" s="213"/>
      <c r="T885" s="213"/>
      <c r="U885" s="213"/>
      <c r="V885" s="213"/>
      <c r="W885" s="213"/>
      <c r="X885" s="213"/>
      <c r="Y885" s="213"/>
      <c r="Z885" s="213"/>
      <c r="AA885" s="213"/>
      <c r="AB885" s="213"/>
      <c r="AC885" s="213"/>
      <c r="AD885" s="213"/>
    </row>
    <row r="886" ht="15.75" customHeight="1">
      <c r="A886" s="257"/>
      <c r="B886" s="213"/>
      <c r="C886" s="213"/>
      <c r="D886" s="213"/>
      <c r="E886" s="213"/>
      <c r="F886" s="213"/>
      <c r="G886" s="213"/>
      <c r="H886" s="213"/>
      <c r="I886" s="213"/>
      <c r="J886" s="213"/>
      <c r="K886" s="213"/>
      <c r="L886" s="213"/>
      <c r="M886" s="213"/>
      <c r="N886" s="213"/>
      <c r="O886" s="213"/>
      <c r="P886" s="213"/>
      <c r="Q886" s="213"/>
      <c r="R886" s="213"/>
      <c r="S886" s="213"/>
      <c r="T886" s="213"/>
      <c r="U886" s="213"/>
      <c r="V886" s="213"/>
      <c r="W886" s="213"/>
      <c r="X886" s="213"/>
      <c r="Y886" s="213"/>
      <c r="Z886" s="213"/>
      <c r="AA886" s="213"/>
      <c r="AB886" s="213"/>
      <c r="AC886" s="213"/>
      <c r="AD886" s="213"/>
    </row>
    <row r="887" ht="15.75" customHeight="1">
      <c r="A887" s="257"/>
      <c r="B887" s="213"/>
      <c r="C887" s="213"/>
      <c r="D887" s="213"/>
      <c r="E887" s="213"/>
      <c r="F887" s="213"/>
      <c r="G887" s="213"/>
      <c r="H887" s="213"/>
      <c r="I887" s="213"/>
      <c r="J887" s="213"/>
      <c r="K887" s="213"/>
      <c r="L887" s="213"/>
      <c r="M887" s="213"/>
      <c r="N887" s="213"/>
      <c r="O887" s="213"/>
      <c r="P887" s="213"/>
      <c r="Q887" s="213"/>
      <c r="R887" s="213"/>
      <c r="S887" s="213"/>
      <c r="T887" s="213"/>
      <c r="U887" s="213"/>
      <c r="V887" s="213"/>
      <c r="W887" s="213"/>
      <c r="X887" s="213"/>
      <c r="Y887" s="213"/>
      <c r="Z887" s="213"/>
      <c r="AA887" s="213"/>
      <c r="AB887" s="213"/>
      <c r="AC887" s="213"/>
      <c r="AD887" s="213"/>
    </row>
    <row r="888" ht="15.75" customHeight="1">
      <c r="A888" s="257"/>
      <c r="B888" s="213"/>
      <c r="C888" s="213"/>
      <c r="D888" s="213"/>
      <c r="E888" s="213"/>
      <c r="F888" s="213"/>
      <c r="G888" s="213"/>
      <c r="H888" s="213"/>
      <c r="I888" s="213"/>
      <c r="J888" s="213"/>
      <c r="K888" s="213"/>
      <c r="L888" s="213"/>
      <c r="M888" s="213"/>
      <c r="N888" s="213"/>
      <c r="O888" s="213"/>
      <c r="P888" s="213"/>
      <c r="Q888" s="213"/>
      <c r="R888" s="213"/>
      <c r="S888" s="213"/>
      <c r="T888" s="213"/>
      <c r="U888" s="213"/>
      <c r="V888" s="213"/>
      <c r="W888" s="213"/>
      <c r="X888" s="213"/>
      <c r="Y888" s="213"/>
      <c r="Z888" s="213"/>
      <c r="AA888" s="213"/>
      <c r="AB888" s="213"/>
      <c r="AC888" s="213"/>
      <c r="AD888" s="213"/>
    </row>
    <row r="889" ht="15.75" customHeight="1">
      <c r="A889" s="257"/>
      <c r="B889" s="213"/>
      <c r="C889" s="213"/>
      <c r="D889" s="213"/>
      <c r="E889" s="213"/>
      <c r="F889" s="213"/>
      <c r="G889" s="213"/>
      <c r="H889" s="213"/>
      <c r="I889" s="213"/>
      <c r="J889" s="213"/>
      <c r="K889" s="213"/>
      <c r="L889" s="213"/>
      <c r="M889" s="213"/>
      <c r="N889" s="213"/>
      <c r="O889" s="213"/>
      <c r="P889" s="213"/>
      <c r="Q889" s="213"/>
      <c r="R889" s="213"/>
      <c r="S889" s="213"/>
      <c r="T889" s="213"/>
      <c r="U889" s="213"/>
      <c r="V889" s="213"/>
      <c r="W889" s="213"/>
      <c r="X889" s="213"/>
      <c r="Y889" s="213"/>
      <c r="Z889" s="213"/>
      <c r="AA889" s="213"/>
      <c r="AB889" s="213"/>
      <c r="AC889" s="213"/>
      <c r="AD889" s="213"/>
    </row>
    <row r="890" ht="15.75" customHeight="1">
      <c r="A890" s="257"/>
      <c r="B890" s="213"/>
      <c r="C890" s="213"/>
      <c r="D890" s="213"/>
      <c r="E890" s="213"/>
      <c r="F890" s="213"/>
      <c r="G890" s="213"/>
      <c r="H890" s="213"/>
      <c r="I890" s="213"/>
      <c r="J890" s="213"/>
      <c r="K890" s="213"/>
      <c r="L890" s="213"/>
      <c r="M890" s="213"/>
      <c r="N890" s="213"/>
      <c r="O890" s="213"/>
      <c r="P890" s="213"/>
      <c r="Q890" s="213"/>
      <c r="R890" s="213"/>
      <c r="S890" s="213"/>
      <c r="T890" s="213"/>
      <c r="U890" s="213"/>
      <c r="V890" s="213"/>
      <c r="W890" s="213"/>
      <c r="X890" s="213"/>
      <c r="Y890" s="213"/>
      <c r="Z890" s="213"/>
      <c r="AA890" s="213"/>
      <c r="AB890" s="213"/>
      <c r="AC890" s="213"/>
      <c r="AD890" s="213"/>
    </row>
    <row r="891" ht="15.75" customHeight="1">
      <c r="A891" s="257"/>
      <c r="B891" s="213"/>
      <c r="C891" s="213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  <c r="Q891" s="213"/>
      <c r="R891" s="213"/>
      <c r="S891" s="213"/>
      <c r="T891" s="213"/>
      <c r="U891" s="213"/>
      <c r="V891" s="213"/>
      <c r="W891" s="213"/>
      <c r="X891" s="213"/>
      <c r="Y891" s="213"/>
      <c r="Z891" s="213"/>
      <c r="AA891" s="213"/>
      <c r="AB891" s="213"/>
      <c r="AC891" s="213"/>
      <c r="AD891" s="213"/>
    </row>
    <row r="892" ht="15.75" customHeight="1">
      <c r="A892" s="257"/>
      <c r="B892" s="213"/>
      <c r="C892" s="213"/>
      <c r="D892" s="213"/>
      <c r="E892" s="213"/>
      <c r="F892" s="213"/>
      <c r="G892" s="213"/>
      <c r="H892" s="213"/>
      <c r="I892" s="213"/>
      <c r="J892" s="213"/>
      <c r="K892" s="213"/>
      <c r="L892" s="213"/>
      <c r="M892" s="213"/>
      <c r="N892" s="213"/>
      <c r="O892" s="213"/>
      <c r="P892" s="213"/>
      <c r="Q892" s="213"/>
      <c r="R892" s="213"/>
      <c r="S892" s="213"/>
      <c r="T892" s="213"/>
      <c r="U892" s="213"/>
      <c r="V892" s="213"/>
      <c r="W892" s="213"/>
      <c r="X892" s="213"/>
      <c r="Y892" s="213"/>
      <c r="Z892" s="213"/>
      <c r="AA892" s="213"/>
      <c r="AB892" s="213"/>
      <c r="AC892" s="213"/>
      <c r="AD892" s="213"/>
    </row>
    <row r="893" ht="15.75" customHeight="1">
      <c r="A893" s="257"/>
      <c r="B893" s="213"/>
      <c r="C893" s="213"/>
      <c r="D893" s="213"/>
      <c r="E893" s="213"/>
      <c r="F893" s="213"/>
      <c r="G893" s="213"/>
      <c r="H893" s="213"/>
      <c r="I893" s="213"/>
      <c r="J893" s="213"/>
      <c r="K893" s="213"/>
      <c r="L893" s="213"/>
      <c r="M893" s="213"/>
      <c r="N893" s="213"/>
      <c r="O893" s="213"/>
      <c r="P893" s="213"/>
      <c r="Q893" s="213"/>
      <c r="R893" s="213"/>
      <c r="S893" s="213"/>
      <c r="T893" s="213"/>
      <c r="U893" s="213"/>
      <c r="V893" s="213"/>
      <c r="W893" s="213"/>
      <c r="X893" s="213"/>
      <c r="Y893" s="213"/>
      <c r="Z893" s="213"/>
      <c r="AA893" s="213"/>
      <c r="AB893" s="213"/>
      <c r="AC893" s="213"/>
      <c r="AD893" s="213"/>
    </row>
    <row r="894" ht="15.75" customHeight="1">
      <c r="A894" s="257"/>
      <c r="B894" s="213"/>
      <c r="C894" s="213"/>
      <c r="D894" s="213"/>
      <c r="E894" s="213"/>
      <c r="F894" s="213"/>
      <c r="G894" s="213"/>
      <c r="H894" s="213"/>
      <c r="I894" s="213"/>
      <c r="J894" s="213"/>
      <c r="K894" s="213"/>
      <c r="L894" s="213"/>
      <c r="M894" s="213"/>
      <c r="N894" s="213"/>
      <c r="O894" s="213"/>
      <c r="P894" s="213"/>
      <c r="Q894" s="213"/>
      <c r="R894" s="213"/>
      <c r="S894" s="213"/>
      <c r="T894" s="213"/>
      <c r="U894" s="213"/>
      <c r="V894" s="213"/>
      <c r="W894" s="213"/>
      <c r="X894" s="213"/>
      <c r="Y894" s="213"/>
      <c r="Z894" s="213"/>
      <c r="AA894" s="213"/>
      <c r="AB894" s="213"/>
      <c r="AC894" s="213"/>
      <c r="AD894" s="213"/>
    </row>
    <row r="895" ht="15.75" customHeight="1">
      <c r="A895" s="257"/>
      <c r="B895" s="213"/>
      <c r="C895" s="213"/>
      <c r="D895" s="213"/>
      <c r="E895" s="213"/>
      <c r="F895" s="213"/>
      <c r="G895" s="213"/>
      <c r="H895" s="213"/>
      <c r="I895" s="213"/>
      <c r="J895" s="213"/>
      <c r="K895" s="213"/>
      <c r="L895" s="213"/>
      <c r="M895" s="213"/>
      <c r="N895" s="213"/>
      <c r="O895" s="213"/>
      <c r="P895" s="213"/>
      <c r="Q895" s="213"/>
      <c r="R895" s="213"/>
      <c r="S895" s="213"/>
      <c r="T895" s="213"/>
      <c r="U895" s="213"/>
      <c r="V895" s="213"/>
      <c r="W895" s="213"/>
      <c r="X895" s="213"/>
      <c r="Y895" s="213"/>
      <c r="Z895" s="213"/>
      <c r="AA895" s="213"/>
      <c r="AB895" s="213"/>
      <c r="AC895" s="213"/>
      <c r="AD895" s="213"/>
    </row>
    <row r="896" ht="15.75" customHeight="1">
      <c r="A896" s="257"/>
      <c r="B896" s="213"/>
      <c r="C896" s="213"/>
      <c r="D896" s="213"/>
      <c r="E896" s="213"/>
      <c r="F896" s="213"/>
      <c r="G896" s="213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  <c r="S896" s="213"/>
      <c r="T896" s="213"/>
      <c r="U896" s="213"/>
      <c r="V896" s="213"/>
      <c r="W896" s="213"/>
      <c r="X896" s="213"/>
      <c r="Y896" s="213"/>
      <c r="Z896" s="213"/>
      <c r="AA896" s="213"/>
      <c r="AB896" s="213"/>
      <c r="AC896" s="213"/>
      <c r="AD896" s="213"/>
    </row>
    <row r="897" ht="15.75" customHeight="1">
      <c r="A897" s="257"/>
      <c r="B897" s="213"/>
      <c r="C897" s="213"/>
      <c r="D897" s="213"/>
      <c r="E897" s="213"/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  <c r="Q897" s="213"/>
      <c r="R897" s="213"/>
      <c r="S897" s="213"/>
      <c r="T897" s="213"/>
      <c r="U897" s="213"/>
      <c r="V897" s="213"/>
      <c r="W897" s="213"/>
      <c r="X897" s="213"/>
      <c r="Y897" s="213"/>
      <c r="Z897" s="213"/>
      <c r="AA897" s="213"/>
      <c r="AB897" s="213"/>
      <c r="AC897" s="213"/>
      <c r="AD897" s="213"/>
    </row>
    <row r="898" ht="15.75" customHeight="1">
      <c r="A898" s="257"/>
      <c r="B898" s="213"/>
      <c r="C898" s="213"/>
      <c r="D898" s="213"/>
      <c r="E898" s="213"/>
      <c r="F898" s="213"/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  <c r="Q898" s="213"/>
      <c r="R898" s="213"/>
      <c r="S898" s="213"/>
      <c r="T898" s="213"/>
      <c r="U898" s="213"/>
      <c r="V898" s="213"/>
      <c r="W898" s="213"/>
      <c r="X898" s="213"/>
      <c r="Y898" s="213"/>
      <c r="Z898" s="213"/>
      <c r="AA898" s="213"/>
      <c r="AB898" s="213"/>
      <c r="AC898" s="213"/>
      <c r="AD898" s="213"/>
    </row>
    <row r="899" ht="15.75" customHeight="1">
      <c r="A899" s="257"/>
      <c r="B899" s="213"/>
      <c r="C899" s="213"/>
      <c r="D899" s="213"/>
      <c r="E899" s="213"/>
      <c r="F899" s="213"/>
      <c r="G899" s="213"/>
      <c r="H899" s="213"/>
      <c r="I899" s="213"/>
      <c r="J899" s="213"/>
      <c r="K899" s="213"/>
      <c r="L899" s="213"/>
      <c r="M899" s="213"/>
      <c r="N899" s="213"/>
      <c r="O899" s="213"/>
      <c r="P899" s="213"/>
      <c r="Q899" s="213"/>
      <c r="R899" s="213"/>
      <c r="S899" s="213"/>
      <c r="T899" s="213"/>
      <c r="U899" s="213"/>
      <c r="V899" s="213"/>
      <c r="W899" s="213"/>
      <c r="X899" s="213"/>
      <c r="Y899" s="213"/>
      <c r="Z899" s="213"/>
      <c r="AA899" s="213"/>
      <c r="AB899" s="213"/>
      <c r="AC899" s="213"/>
      <c r="AD899" s="213"/>
    </row>
    <row r="900" ht="15.75" customHeight="1">
      <c r="A900" s="257"/>
      <c r="B900" s="213"/>
      <c r="C900" s="213"/>
      <c r="D900" s="213"/>
      <c r="E900" s="213"/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  <c r="Q900" s="213"/>
      <c r="R900" s="213"/>
      <c r="S900" s="213"/>
      <c r="T900" s="213"/>
      <c r="U900" s="213"/>
      <c r="V900" s="213"/>
      <c r="W900" s="213"/>
      <c r="X900" s="213"/>
      <c r="Y900" s="213"/>
      <c r="Z900" s="213"/>
      <c r="AA900" s="213"/>
      <c r="AB900" s="213"/>
      <c r="AC900" s="213"/>
      <c r="AD900" s="213"/>
    </row>
    <row r="901" ht="15.75" customHeight="1">
      <c r="A901" s="257"/>
      <c r="B901" s="213"/>
      <c r="C901" s="213"/>
      <c r="D901" s="213"/>
      <c r="E901" s="213"/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  <c r="Q901" s="213"/>
      <c r="R901" s="213"/>
      <c r="S901" s="213"/>
      <c r="T901" s="213"/>
      <c r="U901" s="213"/>
      <c r="V901" s="213"/>
      <c r="W901" s="213"/>
      <c r="X901" s="213"/>
      <c r="Y901" s="213"/>
      <c r="Z901" s="213"/>
      <c r="AA901" s="213"/>
      <c r="AB901" s="213"/>
      <c r="AC901" s="213"/>
      <c r="AD901" s="213"/>
    </row>
    <row r="902" ht="15.75" customHeight="1">
      <c r="A902" s="257"/>
      <c r="B902" s="213"/>
      <c r="C902" s="213"/>
      <c r="D902" s="213"/>
      <c r="E902" s="213"/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  <c r="Q902" s="213"/>
      <c r="R902" s="213"/>
      <c r="S902" s="213"/>
      <c r="T902" s="213"/>
      <c r="U902" s="213"/>
      <c r="V902" s="213"/>
      <c r="W902" s="213"/>
      <c r="X902" s="213"/>
      <c r="Y902" s="213"/>
      <c r="Z902" s="213"/>
      <c r="AA902" s="213"/>
      <c r="AB902" s="213"/>
      <c r="AC902" s="213"/>
      <c r="AD902" s="213"/>
    </row>
    <row r="903" ht="15.75" customHeight="1">
      <c r="A903" s="257"/>
      <c r="B903" s="213"/>
      <c r="C903" s="213"/>
      <c r="D903" s="213"/>
      <c r="E903" s="213"/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  <c r="Q903" s="213"/>
      <c r="R903" s="213"/>
      <c r="S903" s="213"/>
      <c r="T903" s="213"/>
      <c r="U903" s="213"/>
      <c r="V903" s="213"/>
      <c r="W903" s="213"/>
      <c r="X903" s="213"/>
      <c r="Y903" s="213"/>
      <c r="Z903" s="213"/>
      <c r="AA903" s="213"/>
      <c r="AB903" s="213"/>
      <c r="AC903" s="213"/>
      <c r="AD903" s="213"/>
    </row>
    <row r="904" ht="15.75" customHeight="1">
      <c r="A904" s="257"/>
      <c r="B904" s="213"/>
      <c r="C904" s="213"/>
      <c r="D904" s="213"/>
      <c r="E904" s="213"/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  <c r="Q904" s="213"/>
      <c r="R904" s="213"/>
      <c r="S904" s="213"/>
      <c r="T904" s="213"/>
      <c r="U904" s="213"/>
      <c r="V904" s="213"/>
      <c r="W904" s="213"/>
      <c r="X904" s="213"/>
      <c r="Y904" s="213"/>
      <c r="Z904" s="213"/>
      <c r="AA904" s="213"/>
      <c r="AB904" s="213"/>
      <c r="AC904" s="213"/>
      <c r="AD904" s="213"/>
    </row>
    <row r="905" ht="15.75" customHeight="1">
      <c r="A905" s="257"/>
      <c r="B905" s="213"/>
      <c r="C905" s="213"/>
      <c r="D905" s="213"/>
      <c r="E905" s="213"/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  <c r="Q905" s="213"/>
      <c r="R905" s="213"/>
      <c r="S905" s="213"/>
      <c r="T905" s="213"/>
      <c r="U905" s="213"/>
      <c r="V905" s="213"/>
      <c r="W905" s="213"/>
      <c r="X905" s="213"/>
      <c r="Y905" s="213"/>
      <c r="Z905" s="213"/>
      <c r="AA905" s="213"/>
      <c r="AB905" s="213"/>
      <c r="AC905" s="213"/>
      <c r="AD905" s="213"/>
    </row>
    <row r="906" ht="15.75" customHeight="1">
      <c r="A906" s="257"/>
      <c r="B906" s="213"/>
      <c r="C906" s="213"/>
      <c r="D906" s="213"/>
      <c r="E906" s="213"/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  <c r="Q906" s="213"/>
      <c r="R906" s="213"/>
      <c r="S906" s="213"/>
      <c r="T906" s="213"/>
      <c r="U906" s="213"/>
      <c r="V906" s="213"/>
      <c r="W906" s="213"/>
      <c r="X906" s="213"/>
      <c r="Y906" s="213"/>
      <c r="Z906" s="213"/>
      <c r="AA906" s="213"/>
      <c r="AB906" s="213"/>
      <c r="AC906" s="213"/>
      <c r="AD906" s="213"/>
    </row>
    <row r="907" ht="15.75" customHeight="1">
      <c r="A907" s="257"/>
      <c r="B907" s="213"/>
      <c r="C907" s="213"/>
      <c r="D907" s="213"/>
      <c r="E907" s="213"/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  <c r="Q907" s="213"/>
      <c r="R907" s="213"/>
      <c r="S907" s="213"/>
      <c r="T907" s="213"/>
      <c r="U907" s="213"/>
      <c r="V907" s="213"/>
      <c r="W907" s="213"/>
      <c r="X907" s="213"/>
      <c r="Y907" s="213"/>
      <c r="Z907" s="213"/>
      <c r="AA907" s="213"/>
      <c r="AB907" s="213"/>
      <c r="AC907" s="213"/>
      <c r="AD907" s="213"/>
    </row>
    <row r="908" ht="15.75" customHeight="1">
      <c r="A908" s="257"/>
      <c r="B908" s="213"/>
      <c r="C908" s="213"/>
      <c r="D908" s="213"/>
      <c r="E908" s="213"/>
      <c r="F908" s="213"/>
      <c r="G908" s="213"/>
      <c r="H908" s="213"/>
      <c r="I908" s="213"/>
      <c r="J908" s="213"/>
      <c r="K908" s="213"/>
      <c r="L908" s="213"/>
      <c r="M908" s="213"/>
      <c r="N908" s="213"/>
      <c r="O908" s="213"/>
      <c r="P908" s="213"/>
      <c r="Q908" s="213"/>
      <c r="R908" s="213"/>
      <c r="S908" s="213"/>
      <c r="T908" s="213"/>
      <c r="U908" s="213"/>
      <c r="V908" s="213"/>
      <c r="W908" s="213"/>
      <c r="X908" s="213"/>
      <c r="Y908" s="213"/>
      <c r="Z908" s="213"/>
      <c r="AA908" s="213"/>
      <c r="AB908" s="213"/>
      <c r="AC908" s="213"/>
      <c r="AD908" s="213"/>
    </row>
    <row r="909" ht="15.75" customHeight="1">
      <c r="A909" s="257"/>
      <c r="B909" s="213"/>
      <c r="C909" s="213"/>
      <c r="D909" s="213"/>
      <c r="E909" s="213"/>
      <c r="F909" s="213"/>
      <c r="G909" s="213"/>
      <c r="H909" s="213"/>
      <c r="I909" s="213"/>
      <c r="J909" s="213"/>
      <c r="K909" s="213"/>
      <c r="L909" s="213"/>
      <c r="M909" s="213"/>
      <c r="N909" s="213"/>
      <c r="O909" s="213"/>
      <c r="P909" s="213"/>
      <c r="Q909" s="213"/>
      <c r="R909" s="213"/>
      <c r="S909" s="213"/>
      <c r="T909" s="213"/>
      <c r="U909" s="213"/>
      <c r="V909" s="213"/>
      <c r="W909" s="213"/>
      <c r="X909" s="213"/>
      <c r="Y909" s="213"/>
      <c r="Z909" s="213"/>
      <c r="AA909" s="213"/>
      <c r="AB909" s="213"/>
      <c r="AC909" s="213"/>
      <c r="AD909" s="213"/>
    </row>
    <row r="910" ht="15.75" customHeight="1">
      <c r="A910" s="257"/>
      <c r="B910" s="213"/>
      <c r="C910" s="213"/>
      <c r="D910" s="213"/>
      <c r="E910" s="213"/>
      <c r="F910" s="213"/>
      <c r="G910" s="213"/>
      <c r="H910" s="213"/>
      <c r="I910" s="213"/>
      <c r="J910" s="213"/>
      <c r="K910" s="213"/>
      <c r="L910" s="213"/>
      <c r="M910" s="213"/>
      <c r="N910" s="213"/>
      <c r="O910" s="213"/>
      <c r="P910" s="213"/>
      <c r="Q910" s="213"/>
      <c r="R910" s="213"/>
      <c r="S910" s="213"/>
      <c r="T910" s="213"/>
      <c r="U910" s="213"/>
      <c r="V910" s="213"/>
      <c r="W910" s="213"/>
      <c r="X910" s="213"/>
      <c r="Y910" s="213"/>
      <c r="Z910" s="213"/>
      <c r="AA910" s="213"/>
      <c r="AB910" s="213"/>
      <c r="AC910" s="213"/>
      <c r="AD910" s="213"/>
    </row>
    <row r="911" ht="15.75" customHeight="1">
      <c r="A911" s="257"/>
      <c r="B911" s="213"/>
      <c r="C911" s="213"/>
      <c r="D911" s="213"/>
      <c r="E911" s="213"/>
      <c r="F911" s="213"/>
      <c r="G911" s="213"/>
      <c r="H911" s="213"/>
      <c r="I911" s="213"/>
      <c r="J911" s="213"/>
      <c r="K911" s="213"/>
      <c r="L911" s="213"/>
      <c r="M911" s="213"/>
      <c r="N911" s="213"/>
      <c r="O911" s="213"/>
      <c r="P911" s="213"/>
      <c r="Q911" s="213"/>
      <c r="R911" s="213"/>
      <c r="S911" s="213"/>
      <c r="T911" s="213"/>
      <c r="U911" s="213"/>
      <c r="V911" s="213"/>
      <c r="W911" s="213"/>
      <c r="X911" s="213"/>
      <c r="Y911" s="213"/>
      <c r="Z911" s="213"/>
      <c r="AA911" s="213"/>
      <c r="AB911" s="213"/>
      <c r="AC911" s="213"/>
      <c r="AD911" s="213"/>
    </row>
    <row r="912" ht="15.75" customHeight="1">
      <c r="A912" s="257"/>
      <c r="B912" s="213"/>
      <c r="C912" s="213"/>
      <c r="D912" s="213"/>
      <c r="E912" s="213"/>
      <c r="F912" s="213"/>
      <c r="G912" s="213"/>
      <c r="H912" s="213"/>
      <c r="I912" s="213"/>
      <c r="J912" s="213"/>
      <c r="K912" s="213"/>
      <c r="L912" s="213"/>
      <c r="M912" s="213"/>
      <c r="N912" s="213"/>
      <c r="O912" s="213"/>
      <c r="P912" s="213"/>
      <c r="Q912" s="213"/>
      <c r="R912" s="213"/>
      <c r="S912" s="213"/>
      <c r="T912" s="213"/>
      <c r="U912" s="213"/>
      <c r="V912" s="213"/>
      <c r="W912" s="213"/>
      <c r="X912" s="213"/>
      <c r="Y912" s="213"/>
      <c r="Z912" s="213"/>
      <c r="AA912" s="213"/>
      <c r="AB912" s="213"/>
      <c r="AC912" s="213"/>
      <c r="AD912" s="213"/>
    </row>
    <row r="913" ht="15.75" customHeight="1">
      <c r="A913" s="257"/>
      <c r="B913" s="213"/>
      <c r="C913" s="213"/>
      <c r="D913" s="213"/>
      <c r="E913" s="213"/>
      <c r="F913" s="213"/>
      <c r="G913" s="213"/>
      <c r="H913" s="213"/>
      <c r="I913" s="213"/>
      <c r="J913" s="213"/>
      <c r="K913" s="213"/>
      <c r="L913" s="213"/>
      <c r="M913" s="213"/>
      <c r="N913" s="213"/>
      <c r="O913" s="213"/>
      <c r="P913" s="213"/>
      <c r="Q913" s="213"/>
      <c r="R913" s="213"/>
      <c r="S913" s="213"/>
      <c r="T913" s="213"/>
      <c r="U913" s="213"/>
      <c r="V913" s="213"/>
      <c r="W913" s="213"/>
      <c r="X913" s="213"/>
      <c r="Y913" s="213"/>
      <c r="Z913" s="213"/>
      <c r="AA913" s="213"/>
      <c r="AB913" s="213"/>
      <c r="AC913" s="213"/>
      <c r="AD913" s="213"/>
    </row>
    <row r="914" ht="15.75" customHeight="1">
      <c r="A914" s="257"/>
      <c r="B914" s="213"/>
      <c r="C914" s="213"/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3"/>
      <c r="Q914" s="213"/>
      <c r="R914" s="213"/>
      <c r="S914" s="213"/>
      <c r="T914" s="213"/>
      <c r="U914" s="213"/>
      <c r="V914" s="213"/>
      <c r="W914" s="213"/>
      <c r="X914" s="213"/>
      <c r="Y914" s="213"/>
      <c r="Z914" s="213"/>
      <c r="AA914" s="213"/>
      <c r="AB914" s="213"/>
      <c r="AC914" s="213"/>
      <c r="AD914" s="213"/>
    </row>
    <row r="915" ht="15.75" customHeight="1">
      <c r="A915" s="257"/>
      <c r="B915" s="213"/>
      <c r="C915" s="213"/>
      <c r="D915" s="213"/>
      <c r="E915" s="213"/>
      <c r="F915" s="213"/>
      <c r="G915" s="213"/>
      <c r="H915" s="213"/>
      <c r="I915" s="213"/>
      <c r="J915" s="213"/>
      <c r="K915" s="213"/>
      <c r="L915" s="213"/>
      <c r="M915" s="213"/>
      <c r="N915" s="213"/>
      <c r="O915" s="213"/>
      <c r="P915" s="213"/>
      <c r="Q915" s="213"/>
      <c r="R915" s="213"/>
      <c r="S915" s="213"/>
      <c r="T915" s="213"/>
      <c r="U915" s="213"/>
      <c r="V915" s="213"/>
      <c r="W915" s="213"/>
      <c r="X915" s="213"/>
      <c r="Y915" s="213"/>
      <c r="Z915" s="213"/>
      <c r="AA915" s="213"/>
      <c r="AB915" s="213"/>
      <c r="AC915" s="213"/>
      <c r="AD915" s="213"/>
    </row>
    <row r="916" ht="15.75" customHeight="1">
      <c r="A916" s="257"/>
      <c r="B916" s="213"/>
      <c r="C916" s="213"/>
      <c r="D916" s="213"/>
      <c r="E916" s="213"/>
      <c r="F916" s="213"/>
      <c r="G916" s="213"/>
      <c r="H916" s="213"/>
      <c r="I916" s="213"/>
      <c r="J916" s="213"/>
      <c r="K916" s="213"/>
      <c r="L916" s="213"/>
      <c r="M916" s="213"/>
      <c r="N916" s="213"/>
      <c r="O916" s="213"/>
      <c r="P916" s="213"/>
      <c r="Q916" s="213"/>
      <c r="R916" s="213"/>
      <c r="S916" s="213"/>
      <c r="T916" s="213"/>
      <c r="U916" s="213"/>
      <c r="V916" s="213"/>
      <c r="W916" s="213"/>
      <c r="X916" s="213"/>
      <c r="Y916" s="213"/>
      <c r="Z916" s="213"/>
      <c r="AA916" s="213"/>
      <c r="AB916" s="213"/>
      <c r="AC916" s="213"/>
      <c r="AD916" s="213"/>
    </row>
    <row r="917" ht="15.75" customHeight="1">
      <c r="A917" s="257"/>
      <c r="B917" s="213"/>
      <c r="C917" s="213"/>
      <c r="D917" s="213"/>
      <c r="E917" s="213"/>
      <c r="F917" s="213"/>
      <c r="G917" s="213"/>
      <c r="H917" s="213"/>
      <c r="I917" s="213"/>
      <c r="J917" s="213"/>
      <c r="K917" s="213"/>
      <c r="L917" s="213"/>
      <c r="M917" s="213"/>
      <c r="N917" s="213"/>
      <c r="O917" s="213"/>
      <c r="P917" s="213"/>
      <c r="Q917" s="213"/>
      <c r="R917" s="213"/>
      <c r="S917" s="213"/>
      <c r="T917" s="213"/>
      <c r="U917" s="213"/>
      <c r="V917" s="213"/>
      <c r="W917" s="213"/>
      <c r="X917" s="213"/>
      <c r="Y917" s="213"/>
      <c r="Z917" s="213"/>
      <c r="AA917" s="213"/>
      <c r="AB917" s="213"/>
      <c r="AC917" s="213"/>
      <c r="AD917" s="213"/>
    </row>
    <row r="918" ht="15.75" customHeight="1">
      <c r="A918" s="257"/>
      <c r="B918" s="213"/>
      <c r="C918" s="213"/>
      <c r="D918" s="213"/>
      <c r="E918" s="213"/>
      <c r="F918" s="213"/>
      <c r="G918" s="213"/>
      <c r="H918" s="213"/>
      <c r="I918" s="213"/>
      <c r="J918" s="213"/>
      <c r="K918" s="213"/>
      <c r="L918" s="213"/>
      <c r="M918" s="213"/>
      <c r="N918" s="213"/>
      <c r="O918" s="213"/>
      <c r="P918" s="213"/>
      <c r="Q918" s="213"/>
      <c r="R918" s="213"/>
      <c r="S918" s="213"/>
      <c r="T918" s="213"/>
      <c r="U918" s="213"/>
      <c r="V918" s="213"/>
      <c r="W918" s="213"/>
      <c r="X918" s="213"/>
      <c r="Y918" s="213"/>
      <c r="Z918" s="213"/>
      <c r="AA918" s="213"/>
      <c r="AB918" s="213"/>
      <c r="AC918" s="213"/>
      <c r="AD918" s="213"/>
    </row>
    <row r="919" ht="15.75" customHeight="1">
      <c r="A919" s="257"/>
      <c r="B919" s="213"/>
      <c r="C919" s="213"/>
      <c r="D919" s="213"/>
      <c r="E919" s="213"/>
      <c r="F919" s="213"/>
      <c r="G919" s="213"/>
      <c r="H919" s="213"/>
      <c r="I919" s="213"/>
      <c r="J919" s="213"/>
      <c r="K919" s="213"/>
      <c r="L919" s="213"/>
      <c r="M919" s="213"/>
      <c r="N919" s="213"/>
      <c r="O919" s="213"/>
      <c r="P919" s="213"/>
      <c r="Q919" s="213"/>
      <c r="R919" s="213"/>
      <c r="S919" s="213"/>
      <c r="T919" s="213"/>
      <c r="U919" s="213"/>
      <c r="V919" s="213"/>
      <c r="W919" s="213"/>
      <c r="X919" s="213"/>
      <c r="Y919" s="213"/>
      <c r="Z919" s="213"/>
      <c r="AA919" s="213"/>
      <c r="AB919" s="213"/>
      <c r="AC919" s="213"/>
      <c r="AD919" s="213"/>
    </row>
    <row r="920" ht="15.75" customHeight="1">
      <c r="A920" s="257"/>
      <c r="B920" s="213"/>
      <c r="C920" s="213"/>
      <c r="D920" s="213"/>
      <c r="E920" s="213"/>
      <c r="F920" s="213"/>
      <c r="G920" s="213"/>
      <c r="H920" s="213"/>
      <c r="I920" s="213"/>
      <c r="J920" s="213"/>
      <c r="K920" s="213"/>
      <c r="L920" s="213"/>
      <c r="M920" s="213"/>
      <c r="N920" s="213"/>
      <c r="O920" s="213"/>
      <c r="P920" s="213"/>
      <c r="Q920" s="213"/>
      <c r="R920" s="213"/>
      <c r="S920" s="213"/>
      <c r="T920" s="213"/>
      <c r="U920" s="213"/>
      <c r="V920" s="213"/>
      <c r="W920" s="213"/>
      <c r="X920" s="213"/>
      <c r="Y920" s="213"/>
      <c r="Z920" s="213"/>
      <c r="AA920" s="213"/>
      <c r="AB920" s="213"/>
      <c r="AC920" s="213"/>
      <c r="AD920" s="213"/>
    </row>
    <row r="921" ht="15.75" customHeight="1">
      <c r="A921" s="257"/>
      <c r="B921" s="213"/>
      <c r="C921" s="213"/>
      <c r="D921" s="213"/>
      <c r="E921" s="213"/>
      <c r="F921" s="213"/>
      <c r="G921" s="213"/>
      <c r="H921" s="213"/>
      <c r="I921" s="213"/>
      <c r="J921" s="213"/>
      <c r="K921" s="213"/>
      <c r="L921" s="213"/>
      <c r="M921" s="213"/>
      <c r="N921" s="213"/>
      <c r="O921" s="213"/>
      <c r="P921" s="213"/>
      <c r="Q921" s="213"/>
      <c r="R921" s="213"/>
      <c r="S921" s="213"/>
      <c r="T921" s="213"/>
      <c r="U921" s="213"/>
      <c r="V921" s="213"/>
      <c r="W921" s="213"/>
      <c r="X921" s="213"/>
      <c r="Y921" s="213"/>
      <c r="Z921" s="213"/>
      <c r="AA921" s="213"/>
      <c r="AB921" s="213"/>
      <c r="AC921" s="213"/>
      <c r="AD921" s="213"/>
    </row>
    <row r="922" ht="15.75" customHeight="1">
      <c r="A922" s="257"/>
      <c r="B922" s="213"/>
      <c r="C922" s="213"/>
      <c r="D922" s="213"/>
      <c r="E922" s="213"/>
      <c r="F922" s="213"/>
      <c r="G922" s="213"/>
      <c r="H922" s="213"/>
      <c r="I922" s="213"/>
      <c r="J922" s="213"/>
      <c r="K922" s="213"/>
      <c r="L922" s="213"/>
      <c r="M922" s="213"/>
      <c r="N922" s="213"/>
      <c r="O922" s="213"/>
      <c r="P922" s="213"/>
      <c r="Q922" s="213"/>
      <c r="R922" s="213"/>
      <c r="S922" s="213"/>
      <c r="T922" s="213"/>
      <c r="U922" s="213"/>
      <c r="V922" s="213"/>
      <c r="W922" s="213"/>
      <c r="X922" s="213"/>
      <c r="Y922" s="213"/>
      <c r="Z922" s="213"/>
      <c r="AA922" s="213"/>
      <c r="AB922" s="213"/>
      <c r="AC922" s="213"/>
      <c r="AD922" s="213"/>
    </row>
    <row r="923" ht="15.75" customHeight="1">
      <c r="A923" s="257"/>
      <c r="B923" s="213"/>
      <c r="C923" s="213"/>
      <c r="D923" s="213"/>
      <c r="E923" s="213"/>
      <c r="F923" s="213"/>
      <c r="G923" s="213"/>
      <c r="H923" s="213"/>
      <c r="I923" s="213"/>
      <c r="J923" s="213"/>
      <c r="K923" s="213"/>
      <c r="L923" s="213"/>
      <c r="M923" s="213"/>
      <c r="N923" s="213"/>
      <c r="O923" s="213"/>
      <c r="P923" s="213"/>
      <c r="Q923" s="213"/>
      <c r="R923" s="213"/>
      <c r="S923" s="213"/>
      <c r="T923" s="213"/>
      <c r="U923" s="213"/>
      <c r="V923" s="213"/>
      <c r="W923" s="213"/>
      <c r="X923" s="213"/>
      <c r="Y923" s="213"/>
      <c r="Z923" s="213"/>
      <c r="AA923" s="213"/>
      <c r="AB923" s="213"/>
      <c r="AC923" s="213"/>
      <c r="AD923" s="213"/>
    </row>
    <row r="924" ht="15.75" customHeight="1">
      <c r="A924" s="257"/>
      <c r="B924" s="213"/>
      <c r="C924" s="213"/>
      <c r="D924" s="213"/>
      <c r="E924" s="213"/>
      <c r="F924" s="213"/>
      <c r="G924" s="213"/>
      <c r="H924" s="213"/>
      <c r="I924" s="213"/>
      <c r="J924" s="213"/>
      <c r="K924" s="213"/>
      <c r="L924" s="213"/>
      <c r="M924" s="213"/>
      <c r="N924" s="213"/>
      <c r="O924" s="213"/>
      <c r="P924" s="213"/>
      <c r="Q924" s="213"/>
      <c r="R924" s="213"/>
      <c r="S924" s="213"/>
      <c r="T924" s="213"/>
      <c r="U924" s="213"/>
      <c r="V924" s="213"/>
      <c r="W924" s="213"/>
      <c r="X924" s="213"/>
      <c r="Y924" s="213"/>
      <c r="Z924" s="213"/>
      <c r="AA924" s="213"/>
      <c r="AB924" s="213"/>
      <c r="AC924" s="213"/>
      <c r="AD924" s="213"/>
    </row>
    <row r="925" ht="15.75" customHeight="1">
      <c r="A925" s="257"/>
      <c r="B925" s="213"/>
      <c r="C925" s="213"/>
      <c r="D925" s="213"/>
      <c r="E925" s="213"/>
      <c r="F925" s="213"/>
      <c r="G925" s="213"/>
      <c r="H925" s="213"/>
      <c r="I925" s="213"/>
      <c r="J925" s="213"/>
      <c r="K925" s="213"/>
      <c r="L925" s="213"/>
      <c r="M925" s="213"/>
      <c r="N925" s="213"/>
      <c r="O925" s="213"/>
      <c r="P925" s="213"/>
      <c r="Q925" s="213"/>
      <c r="R925" s="213"/>
      <c r="S925" s="213"/>
      <c r="T925" s="213"/>
      <c r="U925" s="213"/>
      <c r="V925" s="213"/>
      <c r="W925" s="213"/>
      <c r="X925" s="213"/>
      <c r="Y925" s="213"/>
      <c r="Z925" s="213"/>
      <c r="AA925" s="213"/>
      <c r="AB925" s="213"/>
      <c r="AC925" s="213"/>
      <c r="AD925" s="213"/>
    </row>
    <row r="926" ht="15.75" customHeight="1">
      <c r="A926" s="257"/>
      <c r="B926" s="213"/>
      <c r="C926" s="213"/>
      <c r="D926" s="213"/>
      <c r="E926" s="213"/>
      <c r="F926" s="213"/>
      <c r="G926" s="213"/>
      <c r="H926" s="213"/>
      <c r="I926" s="213"/>
      <c r="J926" s="213"/>
      <c r="K926" s="213"/>
      <c r="L926" s="213"/>
      <c r="M926" s="213"/>
      <c r="N926" s="213"/>
      <c r="O926" s="213"/>
      <c r="P926" s="213"/>
      <c r="Q926" s="213"/>
      <c r="R926" s="213"/>
      <c r="S926" s="213"/>
      <c r="T926" s="213"/>
      <c r="U926" s="213"/>
      <c r="V926" s="213"/>
      <c r="W926" s="213"/>
      <c r="X926" s="213"/>
      <c r="Y926" s="213"/>
      <c r="Z926" s="213"/>
      <c r="AA926" s="213"/>
      <c r="AB926" s="213"/>
      <c r="AC926" s="213"/>
      <c r="AD926" s="213"/>
    </row>
    <row r="927" ht="15.75" customHeight="1">
      <c r="A927" s="257"/>
      <c r="B927" s="213"/>
      <c r="C927" s="213"/>
      <c r="D927" s="213"/>
      <c r="E927" s="213"/>
      <c r="F927" s="213"/>
      <c r="G927" s="213"/>
      <c r="H927" s="213"/>
      <c r="I927" s="213"/>
      <c r="J927" s="213"/>
      <c r="K927" s="213"/>
      <c r="L927" s="213"/>
      <c r="M927" s="213"/>
      <c r="N927" s="213"/>
      <c r="O927" s="213"/>
      <c r="P927" s="213"/>
      <c r="Q927" s="213"/>
      <c r="R927" s="213"/>
      <c r="S927" s="213"/>
      <c r="T927" s="213"/>
      <c r="U927" s="213"/>
      <c r="V927" s="213"/>
      <c r="W927" s="213"/>
      <c r="X927" s="213"/>
      <c r="Y927" s="213"/>
      <c r="Z927" s="213"/>
      <c r="AA927" s="213"/>
      <c r="AB927" s="213"/>
      <c r="AC927" s="213"/>
      <c r="AD927" s="213"/>
    </row>
    <row r="928" ht="15.75" customHeight="1">
      <c r="A928" s="257"/>
      <c r="B928" s="213"/>
      <c r="C928" s="213"/>
      <c r="D928" s="213"/>
      <c r="E928" s="213"/>
      <c r="F928" s="213"/>
      <c r="G928" s="213"/>
      <c r="H928" s="213"/>
      <c r="I928" s="213"/>
      <c r="J928" s="213"/>
      <c r="K928" s="213"/>
      <c r="L928" s="213"/>
      <c r="M928" s="213"/>
      <c r="N928" s="213"/>
      <c r="O928" s="213"/>
      <c r="P928" s="213"/>
      <c r="Q928" s="213"/>
      <c r="R928" s="213"/>
      <c r="S928" s="213"/>
      <c r="T928" s="213"/>
      <c r="U928" s="213"/>
      <c r="V928" s="213"/>
      <c r="W928" s="213"/>
      <c r="X928" s="213"/>
      <c r="Y928" s="213"/>
      <c r="Z928" s="213"/>
      <c r="AA928" s="213"/>
      <c r="AB928" s="213"/>
      <c r="AC928" s="213"/>
      <c r="AD928" s="213"/>
    </row>
    <row r="929" ht="15.75" customHeight="1">
      <c r="A929" s="257"/>
      <c r="B929" s="213"/>
      <c r="C929" s="213"/>
      <c r="D929" s="213"/>
      <c r="E929" s="213"/>
      <c r="F929" s="213"/>
      <c r="G929" s="213"/>
      <c r="H929" s="213"/>
      <c r="I929" s="213"/>
      <c r="J929" s="213"/>
      <c r="K929" s="213"/>
      <c r="L929" s="213"/>
      <c r="M929" s="213"/>
      <c r="N929" s="213"/>
      <c r="O929" s="213"/>
      <c r="P929" s="213"/>
      <c r="Q929" s="213"/>
      <c r="R929" s="213"/>
      <c r="S929" s="213"/>
      <c r="T929" s="213"/>
      <c r="U929" s="213"/>
      <c r="V929" s="213"/>
      <c r="W929" s="213"/>
      <c r="X929" s="213"/>
      <c r="Y929" s="213"/>
      <c r="Z929" s="213"/>
      <c r="AA929" s="213"/>
      <c r="AB929" s="213"/>
      <c r="AC929" s="213"/>
      <c r="AD929" s="213"/>
    </row>
    <row r="930" ht="15.75" customHeight="1">
      <c r="A930" s="257"/>
      <c r="B930" s="213"/>
      <c r="C930" s="213"/>
      <c r="D930" s="213"/>
      <c r="E930" s="213"/>
      <c r="F930" s="213"/>
      <c r="G930" s="213"/>
      <c r="H930" s="213"/>
      <c r="I930" s="213"/>
      <c r="J930" s="213"/>
      <c r="K930" s="213"/>
      <c r="L930" s="213"/>
      <c r="M930" s="213"/>
      <c r="N930" s="213"/>
      <c r="O930" s="213"/>
      <c r="P930" s="213"/>
      <c r="Q930" s="213"/>
      <c r="R930" s="213"/>
      <c r="S930" s="213"/>
      <c r="T930" s="213"/>
      <c r="U930" s="213"/>
      <c r="V930" s="213"/>
      <c r="W930" s="213"/>
      <c r="X930" s="213"/>
      <c r="Y930" s="213"/>
      <c r="Z930" s="213"/>
      <c r="AA930" s="213"/>
      <c r="AB930" s="213"/>
      <c r="AC930" s="213"/>
      <c r="AD930" s="213"/>
    </row>
    <row r="931" ht="15.75" customHeight="1">
      <c r="A931" s="257"/>
      <c r="B931" s="213"/>
      <c r="C931" s="213"/>
      <c r="D931" s="213"/>
      <c r="E931" s="213"/>
      <c r="F931" s="213"/>
      <c r="G931" s="213"/>
      <c r="H931" s="213"/>
      <c r="I931" s="213"/>
      <c r="J931" s="213"/>
      <c r="K931" s="213"/>
      <c r="L931" s="213"/>
      <c r="M931" s="213"/>
      <c r="N931" s="213"/>
      <c r="O931" s="213"/>
      <c r="P931" s="213"/>
      <c r="Q931" s="213"/>
      <c r="R931" s="213"/>
      <c r="S931" s="213"/>
      <c r="T931" s="213"/>
      <c r="U931" s="213"/>
      <c r="V931" s="213"/>
      <c r="W931" s="213"/>
      <c r="X931" s="213"/>
      <c r="Y931" s="213"/>
      <c r="Z931" s="213"/>
      <c r="AA931" s="213"/>
      <c r="AB931" s="213"/>
      <c r="AC931" s="213"/>
      <c r="AD931" s="213"/>
    </row>
    <row r="932" ht="15.75" customHeight="1">
      <c r="A932" s="257"/>
      <c r="B932" s="213"/>
      <c r="C932" s="213"/>
      <c r="D932" s="213"/>
      <c r="E932" s="213"/>
      <c r="F932" s="213"/>
      <c r="G932" s="213"/>
      <c r="H932" s="213"/>
      <c r="I932" s="213"/>
      <c r="J932" s="213"/>
      <c r="K932" s="213"/>
      <c r="L932" s="213"/>
      <c r="M932" s="213"/>
      <c r="N932" s="213"/>
      <c r="O932" s="213"/>
      <c r="P932" s="213"/>
      <c r="Q932" s="213"/>
      <c r="R932" s="213"/>
      <c r="S932" s="213"/>
      <c r="T932" s="213"/>
      <c r="U932" s="213"/>
      <c r="V932" s="213"/>
      <c r="W932" s="213"/>
      <c r="X932" s="213"/>
      <c r="Y932" s="213"/>
      <c r="Z932" s="213"/>
      <c r="AA932" s="213"/>
      <c r="AB932" s="213"/>
      <c r="AC932" s="213"/>
      <c r="AD932" s="213"/>
    </row>
    <row r="933" ht="15.75" customHeight="1">
      <c r="A933" s="257"/>
      <c r="B933" s="213"/>
      <c r="C933" s="213"/>
      <c r="D933" s="213"/>
      <c r="E933" s="213"/>
      <c r="F933" s="213"/>
      <c r="G933" s="213"/>
      <c r="H933" s="213"/>
      <c r="I933" s="213"/>
      <c r="J933" s="213"/>
      <c r="K933" s="213"/>
      <c r="L933" s="213"/>
      <c r="M933" s="213"/>
      <c r="N933" s="213"/>
      <c r="O933" s="213"/>
      <c r="P933" s="213"/>
      <c r="Q933" s="213"/>
      <c r="R933" s="213"/>
      <c r="S933" s="213"/>
      <c r="T933" s="213"/>
      <c r="U933" s="213"/>
      <c r="V933" s="213"/>
      <c r="W933" s="213"/>
      <c r="X933" s="213"/>
      <c r="Y933" s="213"/>
      <c r="Z933" s="213"/>
      <c r="AA933" s="213"/>
      <c r="AB933" s="213"/>
      <c r="AC933" s="213"/>
      <c r="AD933" s="213"/>
    </row>
    <row r="934" ht="15.75" customHeight="1">
      <c r="A934" s="257"/>
      <c r="B934" s="213"/>
      <c r="C934" s="213"/>
      <c r="D934" s="213"/>
      <c r="E934" s="213"/>
      <c r="F934" s="213"/>
      <c r="G934" s="213"/>
      <c r="H934" s="213"/>
      <c r="I934" s="213"/>
      <c r="J934" s="213"/>
      <c r="K934" s="213"/>
      <c r="L934" s="213"/>
      <c r="M934" s="213"/>
      <c r="N934" s="213"/>
      <c r="O934" s="213"/>
      <c r="P934" s="213"/>
      <c r="Q934" s="213"/>
      <c r="R934" s="213"/>
      <c r="S934" s="213"/>
      <c r="T934" s="213"/>
      <c r="U934" s="213"/>
      <c r="V934" s="213"/>
      <c r="W934" s="213"/>
      <c r="X934" s="213"/>
      <c r="Y934" s="213"/>
      <c r="Z934" s="213"/>
      <c r="AA934" s="213"/>
      <c r="AB934" s="213"/>
      <c r="AC934" s="213"/>
      <c r="AD934" s="213"/>
    </row>
    <row r="935" ht="15.75" customHeight="1">
      <c r="A935" s="257"/>
      <c r="B935" s="213"/>
      <c r="C935" s="213"/>
      <c r="D935" s="213"/>
      <c r="E935" s="213"/>
      <c r="F935" s="213"/>
      <c r="G935" s="213"/>
      <c r="H935" s="213"/>
      <c r="I935" s="213"/>
      <c r="J935" s="213"/>
      <c r="K935" s="213"/>
      <c r="L935" s="213"/>
      <c r="M935" s="213"/>
      <c r="N935" s="213"/>
      <c r="O935" s="213"/>
      <c r="P935" s="213"/>
      <c r="Q935" s="213"/>
      <c r="R935" s="213"/>
      <c r="S935" s="213"/>
      <c r="T935" s="213"/>
      <c r="U935" s="213"/>
      <c r="V935" s="213"/>
      <c r="W935" s="213"/>
      <c r="X935" s="213"/>
      <c r="Y935" s="213"/>
      <c r="Z935" s="213"/>
      <c r="AA935" s="213"/>
      <c r="AB935" s="213"/>
      <c r="AC935" s="213"/>
      <c r="AD935" s="213"/>
    </row>
    <row r="936" ht="15.75" customHeight="1">
      <c r="A936" s="257"/>
      <c r="B936" s="213"/>
      <c r="C936" s="213"/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  <c r="Q936" s="213"/>
      <c r="R936" s="213"/>
      <c r="S936" s="213"/>
      <c r="T936" s="213"/>
      <c r="U936" s="213"/>
      <c r="V936" s="213"/>
      <c r="W936" s="213"/>
      <c r="X936" s="213"/>
      <c r="Y936" s="213"/>
      <c r="Z936" s="213"/>
      <c r="AA936" s="213"/>
      <c r="AB936" s="213"/>
      <c r="AC936" s="213"/>
      <c r="AD936" s="213"/>
    </row>
    <row r="937" ht="15.75" customHeight="1">
      <c r="A937" s="257"/>
      <c r="B937" s="213"/>
      <c r="C937" s="213"/>
      <c r="D937" s="213"/>
      <c r="E937" s="213"/>
      <c r="F937" s="213"/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  <c r="Q937" s="213"/>
      <c r="R937" s="213"/>
      <c r="S937" s="213"/>
      <c r="T937" s="213"/>
      <c r="U937" s="213"/>
      <c r="V937" s="213"/>
      <c r="W937" s="213"/>
      <c r="X937" s="213"/>
      <c r="Y937" s="213"/>
      <c r="Z937" s="213"/>
      <c r="AA937" s="213"/>
      <c r="AB937" s="213"/>
      <c r="AC937" s="213"/>
      <c r="AD937" s="213"/>
    </row>
    <row r="938" ht="15.75" customHeight="1">
      <c r="A938" s="257"/>
      <c r="B938" s="213"/>
      <c r="C938" s="213"/>
      <c r="D938" s="213"/>
      <c r="E938" s="213"/>
      <c r="F938" s="213"/>
      <c r="G938" s="213"/>
      <c r="H938" s="213"/>
      <c r="I938" s="213"/>
      <c r="J938" s="213"/>
      <c r="K938" s="213"/>
      <c r="L938" s="213"/>
      <c r="M938" s="213"/>
      <c r="N938" s="213"/>
      <c r="O938" s="213"/>
      <c r="P938" s="213"/>
      <c r="Q938" s="213"/>
      <c r="R938" s="213"/>
      <c r="S938" s="213"/>
      <c r="T938" s="213"/>
      <c r="U938" s="213"/>
      <c r="V938" s="213"/>
      <c r="W938" s="213"/>
      <c r="X938" s="213"/>
      <c r="Y938" s="213"/>
      <c r="Z938" s="213"/>
      <c r="AA938" s="213"/>
      <c r="AB938" s="213"/>
      <c r="AC938" s="213"/>
      <c r="AD938" s="213"/>
    </row>
    <row r="939" ht="15.75" customHeight="1">
      <c r="A939" s="257"/>
      <c r="B939" s="213"/>
      <c r="C939" s="213"/>
      <c r="D939" s="213"/>
      <c r="E939" s="213"/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  <c r="Q939" s="213"/>
      <c r="R939" s="213"/>
      <c r="S939" s="213"/>
      <c r="T939" s="213"/>
      <c r="U939" s="213"/>
      <c r="V939" s="213"/>
      <c r="W939" s="213"/>
      <c r="X939" s="213"/>
      <c r="Y939" s="213"/>
      <c r="Z939" s="213"/>
      <c r="AA939" s="213"/>
      <c r="AB939" s="213"/>
      <c r="AC939" s="213"/>
      <c r="AD939" s="213"/>
    </row>
    <row r="940" ht="15.75" customHeight="1">
      <c r="A940" s="257"/>
      <c r="B940" s="213"/>
      <c r="C940" s="213"/>
      <c r="D940" s="213"/>
      <c r="E940" s="213"/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  <c r="Q940" s="213"/>
      <c r="R940" s="213"/>
      <c r="S940" s="213"/>
      <c r="T940" s="213"/>
      <c r="U940" s="213"/>
      <c r="V940" s="213"/>
      <c r="W940" s="213"/>
      <c r="X940" s="213"/>
      <c r="Y940" s="213"/>
      <c r="Z940" s="213"/>
      <c r="AA940" s="213"/>
      <c r="AB940" s="213"/>
      <c r="AC940" s="213"/>
      <c r="AD940" s="213"/>
    </row>
    <row r="941" ht="15.75" customHeight="1">
      <c r="A941" s="257"/>
      <c r="B941" s="213"/>
      <c r="C941" s="213"/>
      <c r="D941" s="213"/>
      <c r="E941" s="213"/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  <c r="Q941" s="213"/>
      <c r="R941" s="213"/>
      <c r="S941" s="213"/>
      <c r="T941" s="213"/>
      <c r="U941" s="213"/>
      <c r="V941" s="213"/>
      <c r="W941" s="213"/>
      <c r="X941" s="213"/>
      <c r="Y941" s="213"/>
      <c r="Z941" s="213"/>
      <c r="AA941" s="213"/>
      <c r="AB941" s="213"/>
      <c r="AC941" s="213"/>
      <c r="AD941" s="213"/>
    </row>
    <row r="942" ht="15.75" customHeight="1">
      <c r="A942" s="257"/>
      <c r="B942" s="213"/>
      <c r="C942" s="213"/>
      <c r="D942" s="213"/>
      <c r="E942" s="213"/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  <c r="Q942" s="213"/>
      <c r="R942" s="213"/>
      <c r="S942" s="213"/>
      <c r="T942" s="213"/>
      <c r="U942" s="213"/>
      <c r="V942" s="213"/>
      <c r="W942" s="213"/>
      <c r="X942" s="213"/>
      <c r="Y942" s="213"/>
      <c r="Z942" s="213"/>
      <c r="AA942" s="213"/>
      <c r="AB942" s="213"/>
      <c r="AC942" s="213"/>
      <c r="AD942" s="213"/>
    </row>
    <row r="943" ht="15.75" customHeight="1">
      <c r="A943" s="257"/>
      <c r="B943" s="213"/>
      <c r="C943" s="213"/>
      <c r="D943" s="213"/>
      <c r="E943" s="213"/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  <c r="Q943" s="213"/>
      <c r="R943" s="213"/>
      <c r="S943" s="213"/>
      <c r="T943" s="213"/>
      <c r="U943" s="213"/>
      <c r="V943" s="213"/>
      <c r="W943" s="213"/>
      <c r="X943" s="213"/>
      <c r="Y943" s="213"/>
      <c r="Z943" s="213"/>
      <c r="AA943" s="213"/>
      <c r="AB943" s="213"/>
      <c r="AC943" s="213"/>
      <c r="AD943" s="213"/>
    </row>
    <row r="944" ht="15.75" customHeight="1">
      <c r="A944" s="257"/>
      <c r="B944" s="213"/>
      <c r="C944" s="213"/>
      <c r="D944" s="213"/>
      <c r="E944" s="213"/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  <c r="Q944" s="213"/>
      <c r="R944" s="213"/>
      <c r="S944" s="213"/>
      <c r="T944" s="213"/>
      <c r="U944" s="213"/>
      <c r="V944" s="213"/>
      <c r="W944" s="213"/>
      <c r="X944" s="213"/>
      <c r="Y944" s="213"/>
      <c r="Z944" s="213"/>
      <c r="AA944" s="213"/>
      <c r="AB944" s="213"/>
      <c r="AC944" s="213"/>
      <c r="AD944" s="213"/>
    </row>
    <row r="945" ht="15.75" customHeight="1">
      <c r="A945" s="257"/>
      <c r="B945" s="213"/>
      <c r="C945" s="213"/>
      <c r="D945" s="213"/>
      <c r="E945" s="213"/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  <c r="Q945" s="213"/>
      <c r="R945" s="213"/>
      <c r="S945" s="213"/>
      <c r="T945" s="213"/>
      <c r="U945" s="213"/>
      <c r="V945" s="213"/>
      <c r="W945" s="213"/>
      <c r="X945" s="213"/>
      <c r="Y945" s="213"/>
      <c r="Z945" s="213"/>
      <c r="AA945" s="213"/>
      <c r="AB945" s="213"/>
      <c r="AC945" s="213"/>
      <c r="AD945" s="213"/>
    </row>
    <row r="946" ht="15.75" customHeight="1">
      <c r="A946" s="257"/>
      <c r="B946" s="213"/>
      <c r="C946" s="213"/>
      <c r="D946" s="213"/>
      <c r="E946" s="213"/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  <c r="Q946" s="213"/>
      <c r="R946" s="213"/>
      <c r="S946" s="213"/>
      <c r="T946" s="213"/>
      <c r="U946" s="213"/>
      <c r="V946" s="213"/>
      <c r="W946" s="213"/>
      <c r="X946" s="213"/>
      <c r="Y946" s="213"/>
      <c r="Z946" s="213"/>
      <c r="AA946" s="213"/>
      <c r="AB946" s="213"/>
      <c r="AC946" s="213"/>
      <c r="AD946" s="213"/>
    </row>
    <row r="947" ht="15.75" customHeight="1">
      <c r="A947" s="257"/>
      <c r="B947" s="213"/>
      <c r="C947" s="213"/>
      <c r="D947" s="213"/>
      <c r="E947" s="213"/>
      <c r="F947" s="213"/>
      <c r="G947" s="213"/>
      <c r="H947" s="213"/>
      <c r="I947" s="213"/>
      <c r="J947" s="213"/>
      <c r="K947" s="213"/>
      <c r="L947" s="213"/>
      <c r="M947" s="213"/>
      <c r="N947" s="213"/>
      <c r="O947" s="213"/>
      <c r="P947" s="213"/>
      <c r="Q947" s="213"/>
      <c r="R947" s="213"/>
      <c r="S947" s="213"/>
      <c r="T947" s="213"/>
      <c r="U947" s="213"/>
      <c r="V947" s="213"/>
      <c r="W947" s="213"/>
      <c r="X947" s="213"/>
      <c r="Y947" s="213"/>
      <c r="Z947" s="213"/>
      <c r="AA947" s="213"/>
      <c r="AB947" s="213"/>
      <c r="AC947" s="213"/>
      <c r="AD947" s="213"/>
    </row>
    <row r="948" ht="15.75" customHeight="1">
      <c r="A948" s="257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3"/>
      <c r="M948" s="213"/>
      <c r="N948" s="213"/>
      <c r="O948" s="213"/>
      <c r="P948" s="213"/>
      <c r="Q948" s="213"/>
      <c r="R948" s="213"/>
      <c r="S948" s="213"/>
      <c r="T948" s="213"/>
      <c r="U948" s="213"/>
      <c r="V948" s="213"/>
      <c r="W948" s="213"/>
      <c r="X948" s="213"/>
      <c r="Y948" s="213"/>
      <c r="Z948" s="213"/>
      <c r="AA948" s="213"/>
      <c r="AB948" s="213"/>
      <c r="AC948" s="213"/>
      <c r="AD948" s="213"/>
    </row>
    <row r="949" ht="15.75" customHeight="1">
      <c r="A949" s="257"/>
      <c r="B949" s="213"/>
      <c r="C949" s="213"/>
      <c r="D949" s="213"/>
      <c r="E949" s="213"/>
      <c r="F949" s="213"/>
      <c r="G949" s="213"/>
      <c r="H949" s="213"/>
      <c r="I949" s="213"/>
      <c r="J949" s="213"/>
      <c r="K949" s="213"/>
      <c r="L949" s="213"/>
      <c r="M949" s="213"/>
      <c r="N949" s="213"/>
      <c r="O949" s="213"/>
      <c r="P949" s="213"/>
      <c r="Q949" s="213"/>
      <c r="R949" s="213"/>
      <c r="S949" s="213"/>
      <c r="T949" s="213"/>
      <c r="U949" s="213"/>
      <c r="V949" s="213"/>
      <c r="W949" s="213"/>
      <c r="X949" s="213"/>
      <c r="Y949" s="213"/>
      <c r="Z949" s="213"/>
      <c r="AA949" s="213"/>
      <c r="AB949" s="213"/>
      <c r="AC949" s="213"/>
      <c r="AD949" s="213"/>
    </row>
    <row r="950" ht="15.75" customHeight="1">
      <c r="A950" s="257"/>
      <c r="B950" s="213"/>
      <c r="C950" s="213"/>
      <c r="D950" s="213"/>
      <c r="E950" s="213"/>
      <c r="F950" s="213"/>
      <c r="G950" s="213"/>
      <c r="H950" s="213"/>
      <c r="I950" s="213"/>
      <c r="J950" s="213"/>
      <c r="K950" s="213"/>
      <c r="L950" s="213"/>
      <c r="M950" s="213"/>
      <c r="N950" s="213"/>
      <c r="O950" s="213"/>
      <c r="P950" s="213"/>
      <c r="Q950" s="213"/>
      <c r="R950" s="213"/>
      <c r="S950" s="213"/>
      <c r="T950" s="213"/>
      <c r="U950" s="213"/>
      <c r="V950" s="213"/>
      <c r="W950" s="213"/>
      <c r="X950" s="213"/>
      <c r="Y950" s="213"/>
      <c r="Z950" s="213"/>
      <c r="AA950" s="213"/>
      <c r="AB950" s="213"/>
      <c r="AC950" s="213"/>
      <c r="AD950" s="213"/>
    </row>
    <row r="951" ht="15.75" customHeight="1">
      <c r="A951" s="257"/>
      <c r="B951" s="213"/>
      <c r="C951" s="213"/>
      <c r="D951" s="213"/>
      <c r="E951" s="213"/>
      <c r="F951" s="213"/>
      <c r="G951" s="213"/>
      <c r="H951" s="213"/>
      <c r="I951" s="213"/>
      <c r="J951" s="213"/>
      <c r="K951" s="213"/>
      <c r="L951" s="213"/>
      <c r="M951" s="213"/>
      <c r="N951" s="213"/>
      <c r="O951" s="213"/>
      <c r="P951" s="213"/>
      <c r="Q951" s="213"/>
      <c r="R951" s="213"/>
      <c r="S951" s="213"/>
      <c r="T951" s="213"/>
      <c r="U951" s="213"/>
      <c r="V951" s="213"/>
      <c r="W951" s="213"/>
      <c r="X951" s="213"/>
      <c r="Y951" s="213"/>
      <c r="Z951" s="213"/>
      <c r="AA951" s="213"/>
      <c r="AB951" s="213"/>
      <c r="AC951" s="213"/>
      <c r="AD951" s="213"/>
    </row>
    <row r="952" ht="15.75" customHeight="1">
      <c r="A952" s="257"/>
      <c r="B952" s="213"/>
      <c r="C952" s="213"/>
      <c r="D952" s="213"/>
      <c r="E952" s="213"/>
      <c r="F952" s="213"/>
      <c r="G952" s="213"/>
      <c r="H952" s="213"/>
      <c r="I952" s="213"/>
      <c r="J952" s="213"/>
      <c r="K952" s="213"/>
      <c r="L952" s="213"/>
      <c r="M952" s="213"/>
      <c r="N952" s="213"/>
      <c r="O952" s="213"/>
      <c r="P952" s="213"/>
      <c r="Q952" s="213"/>
      <c r="R952" s="213"/>
      <c r="S952" s="213"/>
      <c r="T952" s="213"/>
      <c r="U952" s="213"/>
      <c r="V952" s="213"/>
      <c r="W952" s="213"/>
      <c r="X952" s="213"/>
      <c r="Y952" s="213"/>
      <c r="Z952" s="213"/>
      <c r="AA952" s="213"/>
      <c r="AB952" s="213"/>
      <c r="AC952" s="213"/>
      <c r="AD952" s="213"/>
    </row>
    <row r="953" ht="15.75" customHeight="1">
      <c r="A953" s="257"/>
      <c r="B953" s="213"/>
      <c r="C953" s="213"/>
      <c r="D953" s="213"/>
      <c r="E953" s="213"/>
      <c r="F953" s="213"/>
      <c r="G953" s="213"/>
      <c r="H953" s="213"/>
      <c r="I953" s="213"/>
      <c r="J953" s="213"/>
      <c r="K953" s="213"/>
      <c r="L953" s="213"/>
      <c r="M953" s="213"/>
      <c r="N953" s="213"/>
      <c r="O953" s="213"/>
      <c r="P953" s="213"/>
      <c r="Q953" s="213"/>
      <c r="R953" s="213"/>
      <c r="S953" s="213"/>
      <c r="T953" s="213"/>
      <c r="U953" s="213"/>
      <c r="V953" s="213"/>
      <c r="W953" s="213"/>
      <c r="X953" s="213"/>
      <c r="Y953" s="213"/>
      <c r="Z953" s="213"/>
      <c r="AA953" s="213"/>
      <c r="AB953" s="213"/>
      <c r="AC953" s="213"/>
      <c r="AD953" s="213"/>
    </row>
    <row r="954" ht="15.75" customHeight="1">
      <c r="A954" s="257"/>
      <c r="B954" s="213"/>
      <c r="C954" s="213"/>
      <c r="D954" s="213"/>
      <c r="E954" s="213"/>
      <c r="F954" s="213"/>
      <c r="G954" s="213"/>
      <c r="H954" s="213"/>
      <c r="I954" s="213"/>
      <c r="J954" s="213"/>
      <c r="K954" s="213"/>
      <c r="L954" s="213"/>
      <c r="M954" s="213"/>
      <c r="N954" s="213"/>
      <c r="O954" s="213"/>
      <c r="P954" s="213"/>
      <c r="Q954" s="213"/>
      <c r="R954" s="213"/>
      <c r="S954" s="213"/>
      <c r="T954" s="213"/>
      <c r="U954" s="213"/>
      <c r="V954" s="213"/>
      <c r="W954" s="213"/>
      <c r="X954" s="213"/>
      <c r="Y954" s="213"/>
      <c r="Z954" s="213"/>
      <c r="AA954" s="213"/>
      <c r="AB954" s="213"/>
      <c r="AC954" s="213"/>
      <c r="AD954" s="213"/>
    </row>
    <row r="955" ht="15.75" customHeight="1">
      <c r="A955" s="257"/>
      <c r="B955" s="213"/>
      <c r="C955" s="213"/>
      <c r="D955" s="213"/>
      <c r="E955" s="213"/>
      <c r="F955" s="213"/>
      <c r="G955" s="213"/>
      <c r="H955" s="213"/>
      <c r="I955" s="213"/>
      <c r="J955" s="213"/>
      <c r="K955" s="213"/>
      <c r="L955" s="213"/>
      <c r="M955" s="213"/>
      <c r="N955" s="213"/>
      <c r="O955" s="213"/>
      <c r="P955" s="213"/>
      <c r="Q955" s="213"/>
      <c r="R955" s="213"/>
      <c r="S955" s="213"/>
      <c r="T955" s="213"/>
      <c r="U955" s="213"/>
      <c r="V955" s="213"/>
      <c r="W955" s="213"/>
      <c r="X955" s="213"/>
      <c r="Y955" s="213"/>
      <c r="Z955" s="213"/>
      <c r="AA955" s="213"/>
      <c r="AB955" s="213"/>
      <c r="AC955" s="213"/>
      <c r="AD955" s="213"/>
    </row>
    <row r="956" ht="15.75" customHeight="1">
      <c r="A956" s="257"/>
      <c r="B956" s="213"/>
      <c r="C956" s="213"/>
      <c r="D956" s="213"/>
      <c r="E956" s="213"/>
      <c r="F956" s="213"/>
      <c r="G956" s="213"/>
      <c r="H956" s="213"/>
      <c r="I956" s="213"/>
      <c r="J956" s="213"/>
      <c r="K956" s="213"/>
      <c r="L956" s="213"/>
      <c r="M956" s="213"/>
      <c r="N956" s="213"/>
      <c r="O956" s="213"/>
      <c r="P956" s="213"/>
      <c r="Q956" s="213"/>
      <c r="R956" s="213"/>
      <c r="S956" s="213"/>
      <c r="T956" s="213"/>
      <c r="U956" s="213"/>
      <c r="V956" s="213"/>
      <c r="W956" s="213"/>
      <c r="X956" s="213"/>
      <c r="Y956" s="213"/>
      <c r="Z956" s="213"/>
      <c r="AA956" s="213"/>
      <c r="AB956" s="213"/>
      <c r="AC956" s="213"/>
      <c r="AD956" s="213"/>
    </row>
    <row r="957" ht="15.75" customHeight="1">
      <c r="A957" s="257"/>
      <c r="B957" s="213"/>
      <c r="C957" s="213"/>
      <c r="D957" s="213"/>
      <c r="E957" s="213"/>
      <c r="F957" s="213"/>
      <c r="G957" s="213"/>
      <c r="H957" s="213"/>
      <c r="I957" s="213"/>
      <c r="J957" s="213"/>
      <c r="K957" s="213"/>
      <c r="L957" s="213"/>
      <c r="M957" s="213"/>
      <c r="N957" s="213"/>
      <c r="O957" s="213"/>
      <c r="P957" s="213"/>
      <c r="Q957" s="213"/>
      <c r="R957" s="213"/>
      <c r="S957" s="213"/>
      <c r="T957" s="213"/>
      <c r="U957" s="213"/>
      <c r="V957" s="213"/>
      <c r="W957" s="213"/>
      <c r="X957" s="213"/>
      <c r="Y957" s="213"/>
      <c r="Z957" s="213"/>
      <c r="AA957" s="213"/>
      <c r="AB957" s="213"/>
      <c r="AC957" s="213"/>
      <c r="AD957" s="213"/>
    </row>
    <row r="958" ht="15.75" customHeight="1">
      <c r="A958" s="257"/>
      <c r="B958" s="213"/>
      <c r="C958" s="213"/>
      <c r="D958" s="213"/>
      <c r="E958" s="213"/>
      <c r="F958" s="213"/>
      <c r="G958" s="213"/>
      <c r="H958" s="213"/>
      <c r="I958" s="213"/>
      <c r="J958" s="213"/>
      <c r="K958" s="213"/>
      <c r="L958" s="213"/>
      <c r="M958" s="213"/>
      <c r="N958" s="213"/>
      <c r="O958" s="213"/>
      <c r="P958" s="213"/>
      <c r="Q958" s="213"/>
      <c r="R958" s="213"/>
      <c r="S958" s="213"/>
      <c r="T958" s="213"/>
      <c r="U958" s="213"/>
      <c r="V958" s="213"/>
      <c r="W958" s="213"/>
      <c r="X958" s="213"/>
      <c r="Y958" s="213"/>
      <c r="Z958" s="213"/>
      <c r="AA958" s="213"/>
      <c r="AB958" s="213"/>
      <c r="AC958" s="213"/>
      <c r="AD958" s="213"/>
    </row>
    <row r="959" ht="15.75" customHeight="1">
      <c r="A959" s="257"/>
      <c r="B959" s="213"/>
      <c r="C959" s="213"/>
      <c r="D959" s="213"/>
      <c r="E959" s="213"/>
      <c r="F959" s="213"/>
      <c r="G959" s="213"/>
      <c r="H959" s="213"/>
      <c r="I959" s="213"/>
      <c r="J959" s="213"/>
      <c r="K959" s="213"/>
      <c r="L959" s="213"/>
      <c r="M959" s="213"/>
      <c r="N959" s="213"/>
      <c r="O959" s="213"/>
      <c r="P959" s="213"/>
      <c r="Q959" s="213"/>
      <c r="R959" s="213"/>
      <c r="S959" s="213"/>
      <c r="T959" s="213"/>
      <c r="U959" s="213"/>
      <c r="V959" s="213"/>
      <c r="W959" s="213"/>
      <c r="X959" s="213"/>
      <c r="Y959" s="213"/>
      <c r="Z959" s="213"/>
      <c r="AA959" s="213"/>
      <c r="AB959" s="213"/>
      <c r="AC959" s="213"/>
      <c r="AD959" s="213"/>
    </row>
    <row r="960" ht="15.75" customHeight="1">
      <c r="A960" s="257"/>
      <c r="B960" s="213"/>
      <c r="C960" s="213"/>
      <c r="D960" s="213"/>
      <c r="E960" s="213"/>
      <c r="F960" s="213"/>
      <c r="G960" s="213"/>
      <c r="H960" s="213"/>
      <c r="I960" s="213"/>
      <c r="J960" s="213"/>
      <c r="K960" s="213"/>
      <c r="L960" s="213"/>
      <c r="M960" s="213"/>
      <c r="N960" s="213"/>
      <c r="O960" s="213"/>
      <c r="P960" s="213"/>
      <c r="Q960" s="213"/>
      <c r="R960" s="213"/>
      <c r="S960" s="213"/>
      <c r="T960" s="213"/>
      <c r="U960" s="213"/>
      <c r="V960" s="213"/>
      <c r="W960" s="213"/>
      <c r="X960" s="213"/>
      <c r="Y960" s="213"/>
      <c r="Z960" s="213"/>
      <c r="AA960" s="213"/>
      <c r="AB960" s="213"/>
      <c r="AC960" s="213"/>
      <c r="AD960" s="213"/>
    </row>
    <row r="961" ht="15.75" customHeight="1">
      <c r="A961" s="257"/>
      <c r="B961" s="213"/>
      <c r="C961" s="213"/>
      <c r="D961" s="213"/>
      <c r="E961" s="213"/>
      <c r="F961" s="213"/>
      <c r="G961" s="213"/>
      <c r="H961" s="213"/>
      <c r="I961" s="213"/>
      <c r="J961" s="213"/>
      <c r="K961" s="213"/>
      <c r="L961" s="213"/>
      <c r="M961" s="213"/>
      <c r="N961" s="213"/>
      <c r="O961" s="213"/>
      <c r="P961" s="213"/>
      <c r="Q961" s="213"/>
      <c r="R961" s="213"/>
      <c r="S961" s="213"/>
      <c r="T961" s="213"/>
      <c r="U961" s="213"/>
      <c r="V961" s="213"/>
      <c r="W961" s="213"/>
      <c r="X961" s="213"/>
      <c r="Y961" s="213"/>
      <c r="Z961" s="213"/>
      <c r="AA961" s="213"/>
      <c r="AB961" s="213"/>
      <c r="AC961" s="213"/>
      <c r="AD961" s="213"/>
    </row>
    <row r="962" ht="15.75" customHeight="1">
      <c r="A962" s="257"/>
      <c r="B962" s="213"/>
      <c r="C962" s="213"/>
      <c r="D962" s="213"/>
      <c r="E962" s="213"/>
      <c r="F962" s="213"/>
      <c r="G962" s="213"/>
      <c r="H962" s="213"/>
      <c r="I962" s="213"/>
      <c r="J962" s="213"/>
      <c r="K962" s="213"/>
      <c r="L962" s="213"/>
      <c r="M962" s="213"/>
      <c r="N962" s="213"/>
      <c r="O962" s="213"/>
      <c r="P962" s="213"/>
      <c r="Q962" s="213"/>
      <c r="R962" s="213"/>
      <c r="S962" s="213"/>
      <c r="T962" s="213"/>
      <c r="U962" s="213"/>
      <c r="V962" s="213"/>
      <c r="W962" s="213"/>
      <c r="X962" s="213"/>
      <c r="Y962" s="213"/>
      <c r="Z962" s="213"/>
      <c r="AA962" s="213"/>
      <c r="AB962" s="213"/>
      <c r="AC962" s="213"/>
      <c r="AD962" s="213"/>
    </row>
    <row r="963" ht="15.75" customHeight="1">
      <c r="A963" s="257"/>
      <c r="B963" s="213"/>
      <c r="C963" s="213"/>
      <c r="D963" s="213"/>
      <c r="E963" s="213"/>
      <c r="F963" s="213"/>
      <c r="G963" s="213"/>
      <c r="H963" s="213"/>
      <c r="I963" s="213"/>
      <c r="J963" s="213"/>
      <c r="K963" s="213"/>
      <c r="L963" s="213"/>
      <c r="M963" s="213"/>
      <c r="N963" s="213"/>
      <c r="O963" s="213"/>
      <c r="P963" s="213"/>
      <c r="Q963" s="213"/>
      <c r="R963" s="213"/>
      <c r="S963" s="213"/>
      <c r="T963" s="213"/>
      <c r="U963" s="213"/>
      <c r="V963" s="213"/>
      <c r="W963" s="213"/>
      <c r="X963" s="213"/>
      <c r="Y963" s="213"/>
      <c r="Z963" s="213"/>
      <c r="AA963" s="213"/>
      <c r="AB963" s="213"/>
      <c r="AC963" s="213"/>
      <c r="AD963" s="213"/>
    </row>
    <row r="964" ht="15.75" customHeight="1">
      <c r="A964" s="257"/>
      <c r="B964" s="213"/>
      <c r="C964" s="213"/>
      <c r="D964" s="213"/>
      <c r="E964" s="213"/>
      <c r="F964" s="213"/>
      <c r="G964" s="213"/>
      <c r="H964" s="213"/>
      <c r="I964" s="213"/>
      <c r="J964" s="213"/>
      <c r="K964" s="213"/>
      <c r="L964" s="213"/>
      <c r="M964" s="213"/>
      <c r="N964" s="213"/>
      <c r="O964" s="213"/>
      <c r="P964" s="213"/>
      <c r="Q964" s="213"/>
      <c r="R964" s="213"/>
      <c r="S964" s="213"/>
      <c r="T964" s="213"/>
      <c r="U964" s="213"/>
      <c r="V964" s="213"/>
      <c r="W964" s="213"/>
      <c r="X964" s="213"/>
      <c r="Y964" s="213"/>
      <c r="Z964" s="213"/>
      <c r="AA964" s="213"/>
      <c r="AB964" s="213"/>
      <c r="AC964" s="213"/>
      <c r="AD964" s="213"/>
    </row>
    <row r="965" ht="15.75" customHeight="1">
      <c r="A965" s="257"/>
      <c r="B965" s="213"/>
      <c r="C965" s="213"/>
      <c r="D965" s="213"/>
      <c r="E965" s="213"/>
      <c r="F965" s="213"/>
      <c r="G965" s="213"/>
      <c r="H965" s="213"/>
      <c r="I965" s="213"/>
      <c r="J965" s="213"/>
      <c r="K965" s="213"/>
      <c r="L965" s="213"/>
      <c r="M965" s="213"/>
      <c r="N965" s="213"/>
      <c r="O965" s="213"/>
      <c r="P965" s="213"/>
      <c r="Q965" s="213"/>
      <c r="R965" s="213"/>
      <c r="S965" s="213"/>
      <c r="T965" s="213"/>
      <c r="U965" s="213"/>
      <c r="V965" s="213"/>
      <c r="W965" s="213"/>
      <c r="X965" s="213"/>
      <c r="Y965" s="213"/>
      <c r="Z965" s="213"/>
      <c r="AA965" s="213"/>
      <c r="AB965" s="213"/>
      <c r="AC965" s="213"/>
      <c r="AD965" s="213"/>
    </row>
    <row r="966" ht="15.75" customHeight="1">
      <c r="A966" s="257"/>
      <c r="B966" s="213"/>
      <c r="C966" s="213"/>
      <c r="D966" s="213"/>
      <c r="E966" s="213"/>
      <c r="F966" s="213"/>
      <c r="G966" s="213"/>
      <c r="H966" s="213"/>
      <c r="I966" s="213"/>
      <c r="J966" s="213"/>
      <c r="K966" s="213"/>
      <c r="L966" s="213"/>
      <c r="M966" s="213"/>
      <c r="N966" s="213"/>
      <c r="O966" s="213"/>
      <c r="P966" s="213"/>
      <c r="Q966" s="213"/>
      <c r="R966" s="213"/>
      <c r="S966" s="213"/>
      <c r="T966" s="213"/>
      <c r="U966" s="213"/>
      <c r="V966" s="213"/>
      <c r="W966" s="213"/>
      <c r="X966" s="213"/>
      <c r="Y966" s="213"/>
      <c r="Z966" s="213"/>
      <c r="AA966" s="213"/>
      <c r="AB966" s="213"/>
      <c r="AC966" s="213"/>
      <c r="AD966" s="213"/>
    </row>
    <row r="967" ht="15.75" customHeight="1">
      <c r="A967" s="257"/>
      <c r="B967" s="213"/>
      <c r="C967" s="213"/>
      <c r="D967" s="213"/>
      <c r="E967" s="213"/>
      <c r="F967" s="213"/>
      <c r="G967" s="213"/>
      <c r="H967" s="213"/>
      <c r="I967" s="213"/>
      <c r="J967" s="213"/>
      <c r="K967" s="213"/>
      <c r="L967" s="213"/>
      <c r="M967" s="213"/>
      <c r="N967" s="213"/>
      <c r="O967" s="213"/>
      <c r="P967" s="213"/>
      <c r="Q967" s="213"/>
      <c r="R967" s="213"/>
      <c r="S967" s="213"/>
      <c r="T967" s="213"/>
      <c r="U967" s="213"/>
      <c r="V967" s="213"/>
      <c r="W967" s="213"/>
      <c r="X967" s="213"/>
      <c r="Y967" s="213"/>
      <c r="Z967" s="213"/>
      <c r="AA967" s="213"/>
      <c r="AB967" s="213"/>
      <c r="AC967" s="213"/>
      <c r="AD967" s="213"/>
    </row>
    <row r="968" ht="15.75" customHeight="1">
      <c r="A968" s="257"/>
      <c r="B968" s="213"/>
      <c r="C968" s="213"/>
      <c r="D968" s="213"/>
      <c r="E968" s="213"/>
      <c r="F968" s="213"/>
      <c r="G968" s="213"/>
      <c r="H968" s="213"/>
      <c r="I968" s="213"/>
      <c r="J968" s="213"/>
      <c r="K968" s="213"/>
      <c r="L968" s="213"/>
      <c r="M968" s="213"/>
      <c r="N968" s="213"/>
      <c r="O968" s="213"/>
      <c r="P968" s="213"/>
      <c r="Q968" s="213"/>
      <c r="R968" s="213"/>
      <c r="S968" s="213"/>
      <c r="T968" s="213"/>
      <c r="U968" s="213"/>
      <c r="V968" s="213"/>
      <c r="W968" s="213"/>
      <c r="X968" s="213"/>
      <c r="Y968" s="213"/>
      <c r="Z968" s="213"/>
      <c r="AA968" s="213"/>
      <c r="AB968" s="213"/>
      <c r="AC968" s="213"/>
      <c r="AD968" s="213"/>
    </row>
    <row r="969" ht="15.75" customHeight="1">
      <c r="A969" s="257"/>
      <c r="B969" s="213"/>
      <c r="C969" s="213"/>
      <c r="D969" s="213"/>
      <c r="E969" s="213"/>
      <c r="F969" s="213"/>
      <c r="G969" s="213"/>
      <c r="H969" s="213"/>
      <c r="I969" s="213"/>
      <c r="J969" s="213"/>
      <c r="K969" s="213"/>
      <c r="L969" s="213"/>
      <c r="M969" s="213"/>
      <c r="N969" s="213"/>
      <c r="O969" s="213"/>
      <c r="P969" s="213"/>
      <c r="Q969" s="213"/>
      <c r="R969" s="213"/>
      <c r="S969" s="213"/>
      <c r="T969" s="213"/>
      <c r="U969" s="213"/>
      <c r="V969" s="213"/>
      <c r="W969" s="213"/>
      <c r="X969" s="213"/>
      <c r="Y969" s="213"/>
      <c r="Z969" s="213"/>
      <c r="AA969" s="213"/>
      <c r="AB969" s="213"/>
      <c r="AC969" s="213"/>
      <c r="AD969" s="213"/>
    </row>
    <row r="970" ht="15.75" customHeight="1">
      <c r="A970" s="257"/>
      <c r="B970" s="213"/>
      <c r="C970" s="213"/>
      <c r="D970" s="213"/>
      <c r="E970" s="213"/>
      <c r="F970" s="213"/>
      <c r="G970" s="213"/>
      <c r="H970" s="213"/>
      <c r="I970" s="213"/>
      <c r="J970" s="213"/>
      <c r="K970" s="213"/>
      <c r="L970" s="213"/>
      <c r="M970" s="213"/>
      <c r="N970" s="213"/>
      <c r="O970" s="213"/>
      <c r="P970" s="213"/>
      <c r="Q970" s="213"/>
      <c r="R970" s="213"/>
      <c r="S970" s="213"/>
      <c r="T970" s="213"/>
      <c r="U970" s="213"/>
      <c r="V970" s="213"/>
      <c r="W970" s="213"/>
      <c r="X970" s="213"/>
      <c r="Y970" s="213"/>
      <c r="Z970" s="213"/>
      <c r="AA970" s="213"/>
      <c r="AB970" s="213"/>
      <c r="AC970" s="213"/>
      <c r="AD970" s="213"/>
    </row>
    <row r="971" ht="15.75" customHeight="1">
      <c r="A971" s="257"/>
      <c r="B971" s="213"/>
      <c r="C971" s="213"/>
      <c r="D971" s="213"/>
      <c r="E971" s="213"/>
      <c r="F971" s="213"/>
      <c r="G971" s="213"/>
      <c r="H971" s="213"/>
      <c r="I971" s="213"/>
      <c r="J971" s="213"/>
      <c r="K971" s="213"/>
      <c r="L971" s="213"/>
      <c r="M971" s="213"/>
      <c r="N971" s="213"/>
      <c r="O971" s="213"/>
      <c r="P971" s="213"/>
      <c r="Q971" s="213"/>
      <c r="R971" s="213"/>
      <c r="S971" s="213"/>
      <c r="T971" s="213"/>
      <c r="U971" s="213"/>
      <c r="V971" s="213"/>
      <c r="W971" s="213"/>
      <c r="X971" s="213"/>
      <c r="Y971" s="213"/>
      <c r="Z971" s="213"/>
      <c r="AA971" s="213"/>
      <c r="AB971" s="213"/>
      <c r="AC971" s="213"/>
      <c r="AD971" s="213"/>
    </row>
    <row r="972" ht="15.75" customHeight="1">
      <c r="A972" s="257"/>
      <c r="B972" s="213"/>
      <c r="C972" s="213"/>
      <c r="D972" s="213"/>
      <c r="E972" s="213"/>
      <c r="F972" s="213"/>
      <c r="G972" s="213"/>
      <c r="H972" s="213"/>
      <c r="I972" s="213"/>
      <c r="J972" s="213"/>
      <c r="K972" s="213"/>
      <c r="L972" s="213"/>
      <c r="M972" s="213"/>
      <c r="N972" s="213"/>
      <c r="O972" s="213"/>
      <c r="P972" s="213"/>
      <c r="Q972" s="213"/>
      <c r="R972" s="213"/>
      <c r="S972" s="213"/>
      <c r="T972" s="213"/>
      <c r="U972" s="213"/>
      <c r="V972" s="213"/>
      <c r="W972" s="213"/>
      <c r="X972" s="213"/>
      <c r="Y972" s="213"/>
      <c r="Z972" s="213"/>
      <c r="AA972" s="213"/>
      <c r="AB972" s="213"/>
      <c r="AC972" s="213"/>
      <c r="AD972" s="213"/>
    </row>
    <row r="973" ht="15.75" customHeight="1">
      <c r="A973" s="257"/>
      <c r="B973" s="213"/>
      <c r="C973" s="213"/>
      <c r="D973" s="213"/>
      <c r="E973" s="213"/>
      <c r="F973" s="213"/>
      <c r="G973" s="213"/>
      <c r="H973" s="213"/>
      <c r="I973" s="213"/>
      <c r="J973" s="213"/>
      <c r="K973" s="213"/>
      <c r="L973" s="213"/>
      <c r="M973" s="213"/>
      <c r="N973" s="213"/>
      <c r="O973" s="213"/>
      <c r="P973" s="213"/>
      <c r="Q973" s="213"/>
      <c r="R973" s="213"/>
      <c r="S973" s="213"/>
      <c r="T973" s="213"/>
      <c r="U973" s="213"/>
      <c r="V973" s="213"/>
      <c r="W973" s="213"/>
      <c r="X973" s="213"/>
      <c r="Y973" s="213"/>
      <c r="Z973" s="213"/>
      <c r="AA973" s="213"/>
      <c r="AB973" s="213"/>
      <c r="AC973" s="213"/>
      <c r="AD973" s="213"/>
    </row>
    <row r="974" ht="15.75" customHeight="1">
      <c r="A974" s="257"/>
      <c r="B974" s="213"/>
      <c r="C974" s="213"/>
      <c r="D974" s="213"/>
      <c r="E974" s="213"/>
      <c r="F974" s="213"/>
      <c r="G974" s="213"/>
      <c r="H974" s="213"/>
      <c r="I974" s="213"/>
      <c r="J974" s="213"/>
      <c r="K974" s="213"/>
      <c r="L974" s="213"/>
      <c r="M974" s="213"/>
      <c r="N974" s="213"/>
      <c r="O974" s="213"/>
      <c r="P974" s="213"/>
      <c r="Q974" s="213"/>
      <c r="R974" s="213"/>
      <c r="S974" s="213"/>
      <c r="T974" s="213"/>
      <c r="U974" s="213"/>
      <c r="V974" s="213"/>
      <c r="W974" s="213"/>
      <c r="X974" s="213"/>
      <c r="Y974" s="213"/>
      <c r="Z974" s="213"/>
      <c r="AA974" s="213"/>
      <c r="AB974" s="213"/>
      <c r="AC974" s="213"/>
      <c r="AD974" s="213"/>
    </row>
    <row r="975" ht="15.75" customHeight="1">
      <c r="A975" s="257"/>
      <c r="B975" s="213"/>
      <c r="C975" s="213"/>
      <c r="D975" s="213"/>
      <c r="E975" s="213"/>
      <c r="F975" s="213"/>
      <c r="G975" s="213"/>
      <c r="H975" s="213"/>
      <c r="I975" s="213"/>
      <c r="J975" s="213"/>
      <c r="K975" s="213"/>
      <c r="L975" s="213"/>
      <c r="M975" s="213"/>
      <c r="N975" s="213"/>
      <c r="O975" s="213"/>
      <c r="P975" s="213"/>
      <c r="Q975" s="213"/>
      <c r="R975" s="213"/>
      <c r="S975" s="213"/>
      <c r="T975" s="213"/>
      <c r="U975" s="213"/>
      <c r="V975" s="213"/>
      <c r="W975" s="213"/>
      <c r="X975" s="213"/>
      <c r="Y975" s="213"/>
      <c r="Z975" s="213"/>
      <c r="AA975" s="213"/>
      <c r="AB975" s="213"/>
      <c r="AC975" s="213"/>
      <c r="AD975" s="213"/>
    </row>
    <row r="976" ht="15.75" customHeight="1">
      <c r="A976" s="257"/>
      <c r="B976" s="213"/>
      <c r="C976" s="213"/>
      <c r="D976" s="213"/>
      <c r="E976" s="213"/>
      <c r="F976" s="213"/>
      <c r="G976" s="213"/>
      <c r="H976" s="213"/>
      <c r="I976" s="213"/>
      <c r="J976" s="213"/>
      <c r="K976" s="213"/>
      <c r="L976" s="213"/>
      <c r="M976" s="213"/>
      <c r="N976" s="213"/>
      <c r="O976" s="213"/>
      <c r="P976" s="213"/>
      <c r="Q976" s="213"/>
      <c r="R976" s="213"/>
      <c r="S976" s="213"/>
      <c r="T976" s="213"/>
      <c r="U976" s="213"/>
      <c r="V976" s="213"/>
      <c r="W976" s="213"/>
      <c r="X976" s="213"/>
      <c r="Y976" s="213"/>
      <c r="Z976" s="213"/>
      <c r="AA976" s="213"/>
      <c r="AB976" s="213"/>
      <c r="AC976" s="213"/>
      <c r="AD976" s="213"/>
    </row>
    <row r="977" ht="15.75" customHeight="1">
      <c r="A977" s="257"/>
      <c r="B977" s="213"/>
      <c r="C977" s="213"/>
      <c r="D977" s="213"/>
      <c r="E977" s="213"/>
      <c r="F977" s="213"/>
      <c r="G977" s="213"/>
      <c r="H977" s="213"/>
      <c r="I977" s="213"/>
      <c r="J977" s="213"/>
      <c r="K977" s="213"/>
      <c r="L977" s="213"/>
      <c r="M977" s="213"/>
      <c r="N977" s="213"/>
      <c r="O977" s="213"/>
      <c r="P977" s="213"/>
      <c r="Q977" s="213"/>
      <c r="R977" s="213"/>
      <c r="S977" s="213"/>
      <c r="T977" s="213"/>
      <c r="U977" s="213"/>
      <c r="V977" s="213"/>
      <c r="W977" s="213"/>
      <c r="X977" s="213"/>
      <c r="Y977" s="213"/>
      <c r="Z977" s="213"/>
      <c r="AA977" s="213"/>
      <c r="AB977" s="213"/>
      <c r="AC977" s="213"/>
      <c r="AD977" s="213"/>
    </row>
    <row r="978" ht="15.75" customHeight="1">
      <c r="A978" s="257"/>
      <c r="B978" s="213"/>
      <c r="C978" s="213"/>
      <c r="D978" s="213"/>
      <c r="E978" s="213"/>
      <c r="F978" s="213"/>
      <c r="G978" s="213"/>
      <c r="H978" s="213"/>
      <c r="I978" s="213"/>
      <c r="J978" s="213"/>
      <c r="K978" s="213"/>
      <c r="L978" s="213"/>
      <c r="M978" s="213"/>
      <c r="N978" s="213"/>
      <c r="O978" s="213"/>
      <c r="P978" s="213"/>
      <c r="Q978" s="213"/>
      <c r="R978" s="213"/>
      <c r="S978" s="213"/>
      <c r="T978" s="213"/>
      <c r="U978" s="213"/>
      <c r="V978" s="213"/>
      <c r="W978" s="213"/>
      <c r="X978" s="213"/>
      <c r="Y978" s="213"/>
      <c r="Z978" s="213"/>
      <c r="AA978" s="213"/>
      <c r="AB978" s="213"/>
      <c r="AC978" s="213"/>
      <c r="AD978" s="213"/>
    </row>
    <row r="979" ht="15.75" customHeight="1">
      <c r="A979" s="257"/>
      <c r="B979" s="213"/>
      <c r="C979" s="213"/>
      <c r="D979" s="213"/>
      <c r="E979" s="213"/>
      <c r="F979" s="213"/>
      <c r="G979" s="213"/>
      <c r="H979" s="213"/>
      <c r="I979" s="213"/>
      <c r="J979" s="213"/>
      <c r="K979" s="213"/>
      <c r="L979" s="213"/>
      <c r="M979" s="213"/>
      <c r="N979" s="213"/>
      <c r="O979" s="213"/>
      <c r="P979" s="213"/>
      <c r="Q979" s="213"/>
      <c r="R979" s="213"/>
      <c r="S979" s="213"/>
      <c r="T979" s="213"/>
      <c r="U979" s="213"/>
      <c r="V979" s="213"/>
      <c r="W979" s="213"/>
      <c r="X979" s="213"/>
      <c r="Y979" s="213"/>
      <c r="Z979" s="213"/>
      <c r="AA979" s="213"/>
      <c r="AB979" s="213"/>
      <c r="AC979" s="213"/>
      <c r="AD979" s="213"/>
    </row>
    <row r="980" ht="15.75" customHeight="1">
      <c r="A980" s="257"/>
      <c r="B980" s="213"/>
      <c r="C980" s="213"/>
      <c r="D980" s="213"/>
      <c r="E980" s="213"/>
      <c r="F980" s="213"/>
      <c r="G980" s="213"/>
      <c r="H980" s="213"/>
      <c r="I980" s="213"/>
      <c r="J980" s="213"/>
      <c r="K980" s="213"/>
      <c r="L980" s="213"/>
      <c r="M980" s="213"/>
      <c r="N980" s="213"/>
      <c r="O980" s="213"/>
      <c r="P980" s="213"/>
      <c r="Q980" s="213"/>
      <c r="R980" s="213"/>
      <c r="S980" s="213"/>
      <c r="T980" s="213"/>
      <c r="U980" s="213"/>
      <c r="V980" s="213"/>
      <c r="W980" s="213"/>
      <c r="X980" s="213"/>
      <c r="Y980" s="213"/>
      <c r="Z980" s="213"/>
      <c r="AA980" s="213"/>
      <c r="AB980" s="213"/>
      <c r="AC980" s="213"/>
      <c r="AD980" s="213"/>
    </row>
    <row r="981" ht="15.75" customHeight="1">
      <c r="A981" s="257"/>
      <c r="B981" s="213"/>
      <c r="C981" s="213"/>
      <c r="D981" s="213"/>
      <c r="E981" s="213"/>
      <c r="F981" s="213"/>
      <c r="G981" s="213"/>
      <c r="H981" s="213"/>
      <c r="I981" s="213"/>
      <c r="J981" s="213"/>
      <c r="K981" s="213"/>
      <c r="L981" s="213"/>
      <c r="M981" s="213"/>
      <c r="N981" s="213"/>
      <c r="O981" s="213"/>
      <c r="P981" s="213"/>
      <c r="Q981" s="213"/>
      <c r="R981" s="213"/>
      <c r="S981" s="213"/>
      <c r="T981" s="213"/>
      <c r="U981" s="213"/>
      <c r="V981" s="213"/>
      <c r="W981" s="213"/>
      <c r="X981" s="213"/>
      <c r="Y981" s="213"/>
      <c r="Z981" s="213"/>
      <c r="AA981" s="213"/>
      <c r="AB981" s="213"/>
      <c r="AC981" s="213"/>
      <c r="AD981" s="213"/>
    </row>
    <row r="982" ht="15.75" customHeight="1">
      <c r="A982" s="257"/>
      <c r="B982" s="213"/>
      <c r="C982" s="213"/>
      <c r="D982" s="213"/>
      <c r="E982" s="213"/>
      <c r="F982" s="213"/>
      <c r="G982" s="213"/>
      <c r="H982" s="213"/>
      <c r="I982" s="213"/>
      <c r="J982" s="213"/>
      <c r="K982" s="213"/>
      <c r="L982" s="213"/>
      <c r="M982" s="213"/>
      <c r="N982" s="213"/>
      <c r="O982" s="213"/>
      <c r="P982" s="213"/>
      <c r="Q982" s="213"/>
      <c r="R982" s="213"/>
      <c r="S982" s="213"/>
      <c r="T982" s="213"/>
      <c r="U982" s="213"/>
      <c r="V982" s="213"/>
      <c r="W982" s="213"/>
      <c r="X982" s="213"/>
      <c r="Y982" s="213"/>
      <c r="Z982" s="213"/>
      <c r="AA982" s="213"/>
      <c r="AB982" s="213"/>
      <c r="AC982" s="213"/>
      <c r="AD982" s="213"/>
    </row>
    <row r="983" ht="15.75" customHeight="1">
      <c r="A983" s="257"/>
      <c r="B983" s="213"/>
      <c r="C983" s="213"/>
      <c r="D983" s="213"/>
      <c r="E983" s="213"/>
      <c r="F983" s="213"/>
      <c r="G983" s="213"/>
      <c r="H983" s="213"/>
      <c r="I983" s="213"/>
      <c r="J983" s="213"/>
      <c r="K983" s="213"/>
      <c r="L983" s="213"/>
      <c r="M983" s="213"/>
      <c r="N983" s="213"/>
      <c r="O983" s="213"/>
      <c r="P983" s="213"/>
      <c r="Q983" s="213"/>
      <c r="R983" s="213"/>
      <c r="S983" s="213"/>
      <c r="T983" s="213"/>
      <c r="U983" s="213"/>
      <c r="V983" s="213"/>
      <c r="W983" s="213"/>
      <c r="X983" s="213"/>
      <c r="Y983" s="213"/>
      <c r="Z983" s="213"/>
      <c r="AA983" s="213"/>
      <c r="AB983" s="213"/>
      <c r="AC983" s="213"/>
      <c r="AD983" s="213"/>
    </row>
    <row r="984" ht="15.75" customHeight="1">
      <c r="A984" s="257"/>
      <c r="B984" s="213"/>
      <c r="C984" s="213"/>
      <c r="D984" s="213"/>
      <c r="E984" s="213"/>
      <c r="F984" s="213"/>
      <c r="G984" s="213"/>
      <c r="H984" s="213"/>
      <c r="I984" s="213"/>
      <c r="J984" s="213"/>
      <c r="K984" s="213"/>
      <c r="L984" s="213"/>
      <c r="M984" s="213"/>
      <c r="N984" s="213"/>
      <c r="O984" s="213"/>
      <c r="P984" s="213"/>
      <c r="Q984" s="213"/>
      <c r="R984" s="213"/>
      <c r="S984" s="213"/>
      <c r="T984" s="213"/>
      <c r="U984" s="213"/>
      <c r="V984" s="213"/>
      <c r="W984" s="213"/>
      <c r="X984" s="213"/>
      <c r="Y984" s="213"/>
      <c r="Z984" s="213"/>
      <c r="AA984" s="213"/>
      <c r="AB984" s="213"/>
      <c r="AC984" s="213"/>
      <c r="AD984" s="213"/>
    </row>
    <row r="985" ht="15.75" customHeight="1">
      <c r="A985" s="257"/>
      <c r="B985" s="213"/>
      <c r="C985" s="213"/>
      <c r="D985" s="213"/>
      <c r="E985" s="213"/>
      <c r="F985" s="213"/>
      <c r="G985" s="213"/>
      <c r="H985" s="213"/>
      <c r="I985" s="213"/>
      <c r="J985" s="213"/>
      <c r="K985" s="213"/>
      <c r="L985" s="213"/>
      <c r="M985" s="213"/>
      <c r="N985" s="213"/>
      <c r="O985" s="213"/>
      <c r="P985" s="213"/>
      <c r="Q985" s="213"/>
      <c r="R985" s="213"/>
      <c r="S985" s="213"/>
      <c r="T985" s="213"/>
      <c r="U985" s="213"/>
      <c r="V985" s="213"/>
      <c r="W985" s="213"/>
      <c r="X985" s="213"/>
      <c r="Y985" s="213"/>
      <c r="Z985" s="213"/>
      <c r="AA985" s="213"/>
      <c r="AB985" s="213"/>
      <c r="AC985" s="213"/>
      <c r="AD985" s="213"/>
    </row>
    <row r="986" ht="15.75" customHeight="1">
      <c r="A986" s="257"/>
      <c r="B986" s="213"/>
      <c r="C986" s="213"/>
      <c r="D986" s="213"/>
      <c r="E986" s="213"/>
      <c r="F986" s="213"/>
      <c r="G986" s="213"/>
      <c r="H986" s="213"/>
      <c r="I986" s="213"/>
      <c r="J986" s="213"/>
      <c r="K986" s="213"/>
      <c r="L986" s="213"/>
      <c r="M986" s="213"/>
      <c r="N986" s="213"/>
      <c r="O986" s="213"/>
      <c r="P986" s="213"/>
      <c r="Q986" s="213"/>
      <c r="R986" s="213"/>
      <c r="S986" s="213"/>
      <c r="T986" s="213"/>
      <c r="U986" s="213"/>
      <c r="V986" s="213"/>
      <c r="W986" s="213"/>
      <c r="X986" s="213"/>
      <c r="Y986" s="213"/>
      <c r="Z986" s="213"/>
      <c r="AA986" s="213"/>
      <c r="AB986" s="213"/>
      <c r="AC986" s="213"/>
      <c r="AD986" s="213"/>
    </row>
    <row r="987" ht="15.75" customHeight="1">
      <c r="A987" s="257"/>
      <c r="B987" s="213"/>
      <c r="C987" s="213"/>
      <c r="D987" s="213"/>
      <c r="E987" s="213"/>
      <c r="F987" s="213"/>
      <c r="G987" s="213"/>
      <c r="H987" s="213"/>
      <c r="I987" s="213"/>
      <c r="J987" s="213"/>
      <c r="K987" s="213"/>
      <c r="L987" s="213"/>
      <c r="M987" s="213"/>
      <c r="N987" s="213"/>
      <c r="O987" s="213"/>
      <c r="P987" s="213"/>
      <c r="Q987" s="213"/>
      <c r="R987" s="213"/>
      <c r="S987" s="213"/>
      <c r="T987" s="213"/>
      <c r="U987" s="213"/>
      <c r="V987" s="213"/>
      <c r="W987" s="213"/>
      <c r="X987" s="213"/>
      <c r="Y987" s="213"/>
      <c r="Z987" s="213"/>
      <c r="AA987" s="213"/>
      <c r="AB987" s="213"/>
      <c r="AC987" s="213"/>
      <c r="AD987" s="213"/>
    </row>
    <row r="988" ht="15.75" customHeight="1">
      <c r="A988" s="257"/>
      <c r="B988" s="213"/>
      <c r="C988" s="213"/>
      <c r="D988" s="213"/>
      <c r="E988" s="213"/>
      <c r="F988" s="213"/>
      <c r="G988" s="213"/>
      <c r="H988" s="213"/>
      <c r="I988" s="213"/>
      <c r="J988" s="213"/>
      <c r="K988" s="213"/>
      <c r="L988" s="213"/>
      <c r="M988" s="213"/>
      <c r="N988" s="213"/>
      <c r="O988" s="213"/>
      <c r="P988" s="213"/>
      <c r="Q988" s="213"/>
      <c r="R988" s="213"/>
      <c r="S988" s="213"/>
      <c r="T988" s="213"/>
      <c r="U988" s="213"/>
      <c r="V988" s="213"/>
      <c r="W988" s="213"/>
      <c r="X988" s="213"/>
      <c r="Y988" s="213"/>
      <c r="Z988" s="213"/>
      <c r="AA988" s="213"/>
      <c r="AB988" s="213"/>
      <c r="AC988" s="213"/>
      <c r="AD988" s="213"/>
    </row>
  </sheetData>
  <mergeCells count="28">
    <mergeCell ref="R7:T9"/>
    <mergeCell ref="U7:X7"/>
    <mergeCell ref="U8:X8"/>
    <mergeCell ref="U9:X9"/>
    <mergeCell ref="Y7:AA7"/>
    <mergeCell ref="Y8:AA8"/>
    <mergeCell ref="N7:O10"/>
    <mergeCell ref="R10:T12"/>
    <mergeCell ref="U10:X10"/>
    <mergeCell ref="Y10:AA10"/>
    <mergeCell ref="J11:M13"/>
    <mergeCell ref="N11:O13"/>
    <mergeCell ref="A16:B16"/>
    <mergeCell ref="A17:AA17"/>
    <mergeCell ref="A18:A29"/>
    <mergeCell ref="B18:B23"/>
    <mergeCell ref="B24:B29"/>
    <mergeCell ref="U11:X11"/>
    <mergeCell ref="Y11:AA11"/>
    <mergeCell ref="U12:X12"/>
    <mergeCell ref="Y12:AA12"/>
    <mergeCell ref="A1:AA6"/>
    <mergeCell ref="A7:B12"/>
    <mergeCell ref="C7:D12"/>
    <mergeCell ref="F7:G13"/>
    <mergeCell ref="H7:I13"/>
    <mergeCell ref="J7:M10"/>
    <mergeCell ref="Y9:AA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2022-11-22T04:54:50Z</dcterms:created>
  <dc:creator>flor bazan</dc:creator>
</cp:coreProperties>
</file>