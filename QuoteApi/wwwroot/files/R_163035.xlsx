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WindowsFormsPrint\WindowsFormsPrint\WindowsFormsPrint\bin\Debug\DestinationFolder\"/>
    </mc:Choice>
  </mc:AlternateContent>
  <xr:revisionPtr revIDLastSave="0" documentId="13_ncr:1_{6979E1AF-A708-406D-8A84-3A39EAEA3E4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I.BREEZE" sheetId="1" r:id="rId1"/>
  </sheets>
  <calcPr calcId="181029"/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38" i="1"/>
  <c r="G37" i="1"/>
  <c r="G36" i="1"/>
  <c r="G35" i="1"/>
  <c r="G34" i="1"/>
  <c r="G33" i="1"/>
  <c r="G32" i="1"/>
  <c r="G31" i="1"/>
  <c r="G30" i="1"/>
  <c r="G29" i="1"/>
  <c r="G28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<sst xmlns="http://schemas.openxmlformats.org/spreadsheetml/2006/main" count="106" uniqueCount="79">
  <si>
    <t>QUOTE  DT :</t>
  </si>
  <si>
    <t>QUOTE  TO :</t>
  </si>
  <si>
    <t>學校</t>
  </si>
  <si>
    <t>地區</t>
  </si>
  <si>
    <t>課程</t>
  </si>
  <si>
    <t>上課週數</t>
  </si>
  <si>
    <t>課程日期</t>
  </si>
  <si>
    <t>住宿</t>
    <phoneticPr fontId="13" type="noConversion"/>
  </si>
  <si>
    <t>JIC</t>
  </si>
  <si>
    <t>碧瑤</t>
  </si>
  <si>
    <t>TOEIC</t>
  </si>
  <si>
    <t>標準雙人房</t>
  </si>
  <si>
    <t>2026/03/19</t>
  </si>
  <si>
    <t>R</t>
  </si>
  <si>
    <t>2026/05/03-2026/06/27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</si>
  <si>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</si>
  <si>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</si>
  <si>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</si>
  <si>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</si>
  <si>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</si>
  <si>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</si>
  <si>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</si>
  <si>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</si>
  <si>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</si>
  <si>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8週</t>
  </si>
  <si>
    <t>註冊完成不退還</t>
  </si>
  <si>
    <t>學費</t>
  </si>
  <si>
    <t>住宿費</t>
  </si>
  <si>
    <t>學校折扣</t>
  </si>
  <si>
    <t>代辦折扣</t>
  </si>
  <si>
    <t>100美金</t>
  </si>
  <si>
    <t xml:space="preserve"> 以上費用包含課程、住宿、餐食</t>
  </si>
  <si>
    <t>美金合計</t>
  </si>
  <si>
    <t xml:space="preserve"> 美金：台幣＝1：32.05(報價當日匯率)</t>
  </si>
  <si>
    <t>台幣換算</t>
  </si>
  <si>
    <t>當地雜費項目</t>
  </si>
  <si>
    <t>次數/週數</t>
  </si>
  <si>
    <t>金額(披索)</t>
  </si>
  <si>
    <t>SSP學生簽證</t>
  </si>
  <si>
    <t>菲律賓學生就讀許可證</t>
  </si>
  <si>
    <t>1次</t>
  </si>
  <si>
    <t>效期6個月</t>
  </si>
  <si>
    <t>SSP E-CARD</t>
  </si>
  <si>
    <t>簽證延簽費</t>
  </si>
  <si>
    <t>入境菲律賓超過59天者</t>
  </si>
  <si>
    <t>ACR I-CARD</t>
  </si>
  <si>
    <t>宿舍押金</t>
  </si>
  <si>
    <t>依學校規定</t>
  </si>
  <si>
    <t>如無損害物品會退還</t>
  </si>
  <si>
    <t>水電費</t>
  </si>
  <si>
    <t>接機費</t>
  </si>
  <si>
    <t>團體接機</t>
  </si>
  <si>
    <t>管理費</t>
  </si>
  <si>
    <t>學生證ID+拍照</t>
  </si>
  <si>
    <t>-</t>
  </si>
  <si>
    <t xml:space="preserve"> 以上費用實際以學校收取為主</t>
  </si>
  <si>
    <t>披索合計</t>
  </si>
  <si>
    <t xml:space="preserve"> 披索：台幣＝1：0.6(報價當日匯率)</t>
  </si>
  <si>
    <t>披索換算</t>
  </si>
  <si>
    <t>機票簽證費用</t>
  </si>
  <si>
    <t>金額(台幣)</t>
  </si>
  <si>
    <t>機票</t>
  </si>
  <si>
    <t>NT$6,000-20,000不等</t>
  </si>
  <si>
    <t>克拉克</t>
  </si>
  <si>
    <t>預查金額</t>
  </si>
  <si>
    <t>簽證</t>
  </si>
  <si>
    <t>紙本NT$1,200/電子NT$1,500</t>
  </si>
  <si>
    <t>紙本</t>
  </si>
  <si>
    <t>辦理紙本59天簽證</t>
  </si>
  <si>
    <t>旅平險</t>
  </si>
  <si>
    <t>依個人需求</t>
  </si>
  <si>
    <t>以上費用為預估費用，可請我們代訂代辦也可自行處理</t>
  </si>
  <si>
    <t>台幣合計</t>
  </si>
  <si>
    <t>總金額</t>
  </si>
  <si>
    <t>報價須知 :</t>
  </si>
  <si>
    <t>1.本報價提供之相關費用，於學校調整前皆有效力，如有調整則依更改後規定辦理。</t>
  </si>
  <si>
    <r>
      <t>2.實際繳款台幣時以</t>
    </r>
    <r>
      <rPr>
        <b/>
        <sz val="10"/>
        <color rgb="FFFF0000"/>
        <rFont val="Microsoft JhengHei"/>
        <family val="2"/>
        <charset val="136"/>
      </rPr>
      <t>富邦銀行『匯款當日』即期賣出匯率</t>
    </r>
    <r>
      <rPr>
        <sz val="10"/>
        <color theme="1"/>
        <rFont val="Microsoft JhengHei"/>
        <family val="2"/>
        <charset val="136"/>
      </rPr>
      <t>進行換算，</t>
    </r>
    <r>
      <rPr>
        <b/>
        <sz val="10"/>
        <color rgb="FFFF0000"/>
        <rFont val="Microsoft JhengHei"/>
        <family val="2"/>
        <charset val="136"/>
      </rPr>
      <t>亦可繳交美金</t>
    </r>
    <r>
      <rPr>
        <sz val="10"/>
        <color theme="1"/>
        <rFont val="Microsoft JhengHei"/>
        <family val="2"/>
        <charset val="136"/>
      </rPr>
      <t>，於課程開始前45天繳清。</t>
    </r>
  </si>
  <si>
    <r>
      <t>3.報名繳交</t>
    </r>
    <r>
      <rPr>
        <b/>
        <sz val="10"/>
        <color rgb="FFFF0000"/>
        <rFont val="Microsoft JhengHei"/>
        <family val="2"/>
        <charset val="136"/>
      </rPr>
      <t>訂金NT$10,000/人，皆不退還</t>
    </r>
    <r>
      <rPr>
        <sz val="10"/>
        <color theme="1"/>
        <rFont val="Microsoft JhengHei"/>
        <family val="2"/>
        <charset val="136"/>
      </rPr>
      <t>。</t>
    </r>
  </si>
  <si>
    <t>4.學校依菲律賓國定假日放假，不提供補課及退款。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</si>
</sst>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4" formatCode="&quot;US$&quot;#,##0_);[Red]\(&quot;US$&quot;#,##0\)"/>
    <numFmt numFmtId="176" formatCode="&quot;US&quot;#,##0"/>
    <numFmt numFmtId="177" formatCode="&quot;NT$&quot;#,##0_);\(&quot;NT$&quot;#,##0\)"/>
    <numFmt numFmtId="178" formatCode="\₱#,##0"/>
    <numFmt numFmtId="179" formatCode="&quot;NT$&quot;#,##0"/>
  </numFmts>
  <fonts count="21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sz val="9"/>
      <name val="Calibri"/>
      <family val="3"/>
      <charset val="136"/>
      <scheme val="minor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sz val="12"/>
      <color rgb="FFFF0000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2"/>
      <color rgb="FF4F8367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b/>
      <sz val="10"/>
      <color rgb="FFFF0000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  <fill>
      <patternFill patternType="solid">
        <fgColor rgb="FFA38A76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B9795B"/>
        <bgColor indexed="64"/>
      </patternFill>
    </fill>
  </fills>
  <borders count="25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/>
      <right/>
      <top/>
      <bottom/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C8C8C8"/>
      </left>
      <right/>
      <top/>
      <bottom/>
      <diagonal/>
    </border>
    <border>
      <left style="medium">
        <color rgb="FFC8C8C8"/>
      </left>
      <right/>
      <top style="thin">
        <color rgb="FF2C451B"/>
      </top>
      <bottom style="thin">
        <color rgb="FF2C451B"/>
      </bottom>
      <diagonal/>
    </border>
    <border>
      <left style="medium">
        <color rgb="FFC8C8C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8C8C8"/>
      </left>
      <right/>
      <top style="thin">
        <color rgb="FF000000"/>
      </top>
      <bottom/>
      <diagonal/>
    </border>
    <border>
      <left/>
      <right style="medium">
        <color rgb="FFC8C8C8"/>
      </right>
      <top/>
      <bottom/>
      <diagonal/>
    </border>
    <border>
      <left style="thin">
        <color rgb="FF2C451B"/>
      </left>
      <right style="medium">
        <color rgb="FFC8C8C8"/>
      </right>
      <top style="thin">
        <color rgb="FF2C451B"/>
      </top>
      <bottom style="thin">
        <color rgb="FF2C451B"/>
      </bottom>
      <diagonal/>
    </border>
    <border>
      <left style="thin">
        <color rgb="FF000000"/>
      </left>
      <right style="medium">
        <color rgb="FFC8C8C8"/>
      </right>
      <top style="thin">
        <color rgb="FF000000"/>
      </top>
      <bottom style="thin">
        <color rgb="FF000000"/>
      </bottom>
      <diagonal/>
    </border>
    <border>
      <left/>
      <right style="medium">
        <color rgb="FFC8C8C8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9" fillId="0" borderId="0" xfId="0" applyFont="1"/>
    <xf numFmtId="0" fontId="10" fillId="0" borderId="4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4" borderId="11" xfId="0" applyFont="1" applyFill="1" applyBorder="1"/>
    <xf numFmtId="0" fontId="5" fillId="4" borderId="12" xfId="0" applyFont="1" applyFill="1" applyBorder="1"/>
    <xf numFmtId="0" fontId="5" fillId="4" borderId="13" xfId="0" applyFont="1" applyFill="1" applyBorder="1"/>
    <xf numFmtId="0" fontId="14" fillId="2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5" fillId="0" borderId="7" xfId="0" applyFont="1" applyBorder="1"/>
    <xf numFmtId="0" fontId="12" fillId="0" borderId="4" xfId="0" applyFont="1" applyBorder="1" applyAlignment="1">
      <alignment horizontal="center" vertical="center"/>
    </xf>
    <xf numFmtId="0" fontId="0" fillId="0" borderId="0" xfId="0"/>
    <xf numFmtId="0" fontId="3" fillId="0" borderId="5" xfId="0" applyFont="1" applyBorder="1"/>
    <xf numFmtId="0" fontId="14" fillId="2" borderId="1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14" fillId="5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 wrapText="1"/>
    </xf>
    <xf numFmtId="176" fontId="9" fillId="0" borderId="15" xfId="0" applyNumberFormat="1" applyFont="1" applyFill="1" applyBorder="1" applyAlignment="1">
      <alignment horizontal="center" vertical="center"/>
    </xf>
    <xf numFmtId="176" fontId="9" fillId="0" borderId="15" xfId="0" applyNumberFormat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 wrapText="1"/>
    </xf>
    <xf numFmtId="176" fontId="16" fillId="0" borderId="15" xfId="0" applyNumberFormat="1" applyFont="1" applyFill="1" applyBorder="1" applyAlignment="1">
      <alignment horizontal="center" vertical="center"/>
    </xf>
    <xf numFmtId="176" fontId="16" fillId="0" borderId="15" xfId="0" applyNumberFormat="1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24" fontId="14" fillId="5" borderId="16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177" fontId="14" fillId="6" borderId="6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178" fontId="9" fillId="0" borderId="15" xfId="0" applyNumberFormat="1" applyFont="1" applyFill="1" applyBorder="1" applyAlignment="1">
      <alignment horizontal="center" vertical="center"/>
    </xf>
    <xf numFmtId="178" fontId="9" fillId="0" borderId="15" xfId="0" applyNumberFormat="1" applyFont="1" applyFill="1" applyBorder="1" applyAlignment="1">
      <alignment horizontal="center" vertical="center"/>
    </xf>
    <xf numFmtId="178" fontId="14" fillId="5" borderId="16" xfId="0" applyNumberFormat="1" applyFont="1" applyFill="1" applyBorder="1" applyAlignment="1">
      <alignment horizontal="center" vertical="center"/>
    </xf>
    <xf numFmtId="179" fontId="9" fillId="0" borderId="15" xfId="0" applyNumberFormat="1" applyFont="1" applyFill="1" applyBorder="1" applyAlignment="1">
      <alignment horizontal="center" vertical="center"/>
    </xf>
    <xf numFmtId="179" fontId="9" fillId="0" borderId="15" xfId="0" applyNumberFormat="1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177" fontId="14" fillId="6" borderId="16" xfId="0" applyNumberFormat="1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5" fillId="0" borderId="6" xfId="0" applyFont="1" applyBorder="1"/>
    <xf numFmtId="0" fontId="5" fillId="0" borderId="6" xfId="0" applyFont="1" applyBorder="1" applyAlignment="1">
      <alignment vertical="center"/>
    </xf>
    <xf numFmtId="0" fontId="17" fillId="7" borderId="6" xfId="0" applyFont="1" applyFill="1" applyBorder="1" applyAlignment="1">
      <alignment horizontal="center" vertical="center"/>
    </xf>
    <xf numFmtId="177" fontId="17" fillId="7" borderId="6" xfId="0" applyNumberFormat="1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14" fillId="5" borderId="1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14" fillId="5" borderId="21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9" fillId="0" borderId="4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112454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  <xdr:twoCellAnchor editAs="oneCell">
    <xdr:from>
      <xdr:col>1</xdr:col>
      <xdr:colOff>762000</xdr:colOff>
      <xdr:row>6</xdr:row>
      <xdr:rowOff>203200</xdr:rowOff>
    </xdr:from>
    <xdr:to>
      <xdr:col>4</xdr:col>
      <xdr:colOff>33020</xdr:colOff>
      <xdr:row>12</xdr:row>
      <xdr:rowOff>12700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09287E3A-4065-99EE-B95A-9EE31C1523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1399540"/>
          <a:ext cx="2540000" cy="1143000"/>
        </a:xfrm>
        <a:prstGeom prst="rect">
          <a:avLst/>
        </a:prstGeom>
      </xdr:spPr>
    </xdr:pic>
    <xdr:clientData/>
  </xdr:twoCellAnchor>
  <xdr:twoCellAnchor>
    <xdr:from>
      <xdr:col>7</xdr:col>
      <xdr:colOff>787400</xdr:colOff>
      <xdr:row>23</xdr:row>
      <xdr:rowOff>127000</xdr:rowOff>
    </xdr:from>
    <xdr:to>
      <xdr:col>8</xdr:col>
      <xdr:colOff>2413000</xdr:colOff>
      <xdr:row>24</xdr:row>
      <xdr:rowOff>129540</xdr:rowOff>
    </xdr:to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932DE14-97D7-E2F3-D2EA-486FDD574272}"/>
            </a:ext>
          </a:extLst>
        </xdr:cNvPr>
        <xdr:cNvSpPr txBox="1"/>
      </xdr:nvSpPr>
      <xdr:spPr>
        <a:xfrm>
          <a:off x="7904480" y="5064760"/>
          <a:ext cx="2540000" cy="254000"/>
        </a:xfrm>
        <a:prstGeom prst="rect">
          <a:avLst/>
        </a:prstGeom>
        <a:solidFill>
          <a:srgbClr val="DAE3F3"/>
        </a:solidFill>
        <a:ln w="381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TW" altLang="en-US" sz="1200" b="1">
              <a:solidFill>
                <a:srgbClr val="000000"/>
              </a:solidFill>
              <a:latin typeface="微軟正黑體" panose="020B0604030504040204" pitchFamily="34" charset="-120"/>
            </a:rPr>
            <a:t>繳給語宙，幣別可台幣</a:t>
          </a:r>
          <a:r>
            <a:rPr lang="en-US" altLang="zh-TW" sz="1200" b="1">
              <a:solidFill>
                <a:srgbClr val="000000"/>
              </a:solidFill>
              <a:latin typeface="微軟正黑體" panose="020B0604030504040204" pitchFamily="34" charset="-120"/>
            </a:rPr>
            <a:t>OR</a:t>
          </a:r>
          <a:r>
            <a:rPr lang="zh-TW" altLang="en-US" sz="1200" b="1">
              <a:solidFill>
                <a:srgbClr val="000000"/>
              </a:solidFill>
              <a:latin typeface="微軟正黑體" panose="020B0604030504040204" pitchFamily="34" charset="-120"/>
            </a:rPr>
            <a:t>美金</a:t>
          </a:r>
        </a:p>
      </xdr:txBody>
    </xdr:sp>
    <xdr:clientData/>
  </xdr:twoCellAnchor>
  <xdr:twoCellAnchor>
    <xdr:from>
      <xdr:col>7</xdr:col>
      <xdr:colOff>787400</xdr:colOff>
      <xdr:row>36</xdr:row>
      <xdr:rowOff>127000</xdr:rowOff>
    </xdr:from>
    <xdr:to>
      <xdr:col>8</xdr:col>
      <xdr:colOff>2413000</xdr:colOff>
      <xdr:row>37</xdr:row>
      <xdr:rowOff>68580</xdr:rowOff>
    </xdr:to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AAE223A0-B41B-4616-FE53-6B29532180E3}"/>
            </a:ext>
          </a:extLst>
        </xdr:cNvPr>
        <xdr:cNvSpPr txBox="1"/>
      </xdr:nvSpPr>
      <xdr:spPr>
        <a:xfrm>
          <a:off x="7904480" y="7747000"/>
          <a:ext cx="2540000" cy="254000"/>
        </a:xfrm>
        <a:prstGeom prst="rect">
          <a:avLst/>
        </a:prstGeom>
        <a:solidFill>
          <a:srgbClr val="DAE3F3"/>
        </a:solidFill>
        <a:ln w="381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TW" altLang="en-US" sz="1200" b="1">
              <a:solidFill>
                <a:srgbClr val="000000"/>
              </a:solidFill>
              <a:latin typeface="微軟正黑體" panose="020B0604030504040204" pitchFamily="34" charset="-120"/>
            </a:rPr>
            <a:t>到當地用披索繳給學校</a:t>
          </a:r>
        </a:p>
      </xdr:txBody>
    </xdr:sp>
    <xdr:clientData/>
  </xdr:twoCellAnchor>
  <xdr:twoCellAnchor>
    <xdr:from>
      <xdr:col>7</xdr:col>
      <xdr:colOff>787400</xdr:colOff>
      <xdr:row>43</xdr:row>
      <xdr:rowOff>109220</xdr:rowOff>
    </xdr:from>
    <xdr:to>
      <xdr:col>8</xdr:col>
      <xdr:colOff>2921000</xdr:colOff>
      <xdr:row>44</xdr:row>
      <xdr:rowOff>127000</xdr:rowOff>
    </xdr:to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657D6BD9-85B3-1127-9C99-CAE0915F3E5A}"/>
            </a:ext>
          </a:extLst>
        </xdr:cNvPr>
        <xdr:cNvSpPr txBox="1"/>
      </xdr:nvSpPr>
      <xdr:spPr>
        <a:xfrm>
          <a:off x="7904480" y="9535160"/>
          <a:ext cx="3048000" cy="254000"/>
        </a:xfrm>
        <a:prstGeom prst="rect">
          <a:avLst/>
        </a:prstGeom>
        <a:solidFill>
          <a:srgbClr val="DAE3F3"/>
        </a:solidFill>
        <a:ln w="381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TW" altLang="en-US" sz="1200" b="1">
              <a:solidFill>
                <a:srgbClr val="000000"/>
              </a:solidFill>
              <a:latin typeface="微軟正黑體" panose="020B0604030504040204" pitchFamily="34" charset="-120"/>
            </a:rPr>
            <a:t>預估遊學總費用</a:t>
          </a:r>
          <a:r>
            <a:rPr lang="en-US" altLang="zh-TW" sz="1200" b="1">
              <a:solidFill>
                <a:srgbClr val="000000"/>
              </a:solidFill>
              <a:latin typeface="微軟正黑體" panose="020B0604030504040204" pitchFamily="34" charset="-120"/>
            </a:rPr>
            <a:t>(</a:t>
          </a:r>
          <a:r>
            <a:rPr lang="zh-TW" altLang="en-US" sz="1200" b="1">
              <a:solidFill>
                <a:srgbClr val="000000"/>
              </a:solidFill>
              <a:latin typeface="微軟正黑體" panose="020B0604030504040204" pitchFamily="34" charset="-120"/>
            </a:rPr>
            <a:t>不含生活費及旅遊費用</a:t>
          </a:r>
          <a:r>
            <a:rPr lang="en-US" altLang="zh-TW" sz="1200" b="1">
              <a:solidFill>
                <a:srgbClr val="000000"/>
              </a:solidFill>
              <a:latin typeface="微軟正黑體" panose="020B0604030504040204" pitchFamily="34" charset="-120"/>
            </a:rPr>
            <a:t>)</a:t>
          </a:r>
          <a:endParaRPr lang="zh-TW" altLang="en-US" sz="1200" b="1">
            <a:solidFill>
              <a:srgbClr val="000000"/>
            </a:solidFill>
            <a:latin typeface="微軟正黑體" panose="020B0604030504040204" pitchFamily="34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000"/>
  <sheetViews>
    <sheetView tabSelected="1" topLeftCell="A9" zoomScale="175" workbookViewId="0">
      <selection activeCell="F15" sqref="F15:G15"/>
    </sheetView>
  </sheetViews>
  <sheetFormatPr defaultColWidth="14.44140625" defaultRowHeight="15" customHeight="1"/>
  <cols>
    <col min="1" max="3" width="18" customWidth="1"/>
    <col min="4" max="4" width="11.6640625" customWidth="1"/>
    <col min="5" max="5" width="13" customWidth="1"/>
    <col min="6" max="6" width="12" customWidth="1"/>
    <col min="7" max="7" width="13.109375" customWidth="1"/>
    <col min="8" max="8" width="13.33203125" customWidth="1"/>
    <col min="9" max="9" width="44.88671875" customWidth="1"/>
  </cols>
  <sheetData>
    <row r="2" spans="1:9" ht="14.4"/>
    <row r="3" spans="1:9" ht="14.4"/>
    <row r="4" spans="1:9" ht="14.4"/>
    <row r="5" spans="1:9" ht="14.4"/>
    <row r="6" spans="1:9" ht="21.75" customHeight="1"/>
    <row r="7" spans="1:9" ht="21" customHeight="1">
      <c r="A7" s="1"/>
      <c r="B7" s="2"/>
      <c r="C7" s="2"/>
      <c r="D7" s="2"/>
      <c r="E7" s="2"/>
      <c r="F7" s="2"/>
      <c r="G7" s="2"/>
      <c r="H7" s="36"/>
      <c r="I7" s="37"/>
    </row>
    <row r="8" spans="1:9" ht="15.75" customHeight="1">
      <c r="A8" s="3"/>
      <c r="I8" s="4"/>
    </row>
    <row r="9" spans="1:9" ht="15.75" customHeight="1">
      <c r="A9" s="3"/>
      <c r="I9" s="4"/>
    </row>
    <row r="10" spans="1:9" ht="19.05" customHeight="1">
      <c r="A10" s="5"/>
      <c r="B10" s="6"/>
      <c r="C10" s="7"/>
      <c r="D10" s="8"/>
      <c r="E10" s="8"/>
      <c r="F10" s="8"/>
      <c r="G10" s="38" t="s">
        <v>0</v>
      </c>
      <c r="H10" s="29"/>
      <c r="I10" s="9" t="s">
        <v>12</v>
      </c>
    </row>
    <row r="11" spans="1:9" ht="19.05" customHeight="1">
      <c r="A11" s="10"/>
      <c r="B11" s="11"/>
      <c r="C11" s="39"/>
      <c r="D11" s="29"/>
      <c r="E11" s="12"/>
      <c r="F11" s="12"/>
      <c r="G11" s="38" t="s">
        <v>1</v>
      </c>
      <c r="H11" s="29"/>
      <c r="I11" s="13" t="s">
        <v>13</v>
      </c>
    </row>
    <row r="12" spans="1:9" ht="15.75" customHeight="1">
      <c r="A12" s="10"/>
      <c r="B12" s="11"/>
      <c r="C12" s="14"/>
      <c r="D12" s="14"/>
      <c r="E12" s="14"/>
      <c r="F12" s="14"/>
      <c r="G12" s="38"/>
      <c r="H12" s="29"/>
      <c r="I12" s="13"/>
    </row>
    <row r="13" spans="1:9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spans="1:9" ht="25.05" customHeight="1">
      <c r="A14" s="72" t="s">
        <v>2</v>
      </c>
      <c r="B14" s="67"/>
      <c r="C14" s="25" t="s">
        <v>3</v>
      </c>
      <c r="D14" s="31" t="s">
        <v>4</v>
      </c>
      <c r="E14" s="31"/>
      <c r="F14" s="31" t="s">
        <v>7</v>
      </c>
      <c r="G14" s="31"/>
      <c r="H14" s="25" t="s">
        <v>5</v>
      </c>
      <c r="I14" s="81" t="s">
        <v>6</v>
      </c>
    </row>
    <row r="15" spans="1:9" ht="25.05" customHeight="1">
      <c r="A15" s="73" t="s">
        <v>8</v>
      </c>
      <c r="B15" s="27"/>
      <c r="C15" s="26" t="s">
        <v>9</v>
      </c>
      <c r="D15" s="32" t="s">
        <v>10</v>
      </c>
      <c r="E15" s="33"/>
      <c r="F15" s="34" t="s">
        <v>11</v>
      </c>
      <c r="G15" s="35"/>
      <c r="H15" s="26">
        <v>8</v>
      </c>
      <c r="I15" s="82" t="s">
        <v>14</v>
      </c>
    </row>
    <row r="16" spans="1:9" ht="25.05" customHeight="1">
      <c r="A16" s="74"/>
      <c r="B16" s="68"/>
      <c r="C16" s="68"/>
      <c r="D16" s="68"/>
      <c r="E16" s="68"/>
      <c r="F16" s="68"/>
      <c r="G16" s="68"/>
      <c r="H16" s="68"/>
      <c r="I16" s="83"/>
    </row>
    <row r="17" spans="1:10" ht="25.05" customHeight="1">
      <c r="A17" s="74"/>
      <c r="B17" s="68"/>
      <c r="C17" s="68"/>
      <c r="D17" s="68"/>
      <c r="E17" s="68"/>
      <c r="F17" s="68"/>
      <c r="G17" s="68"/>
      <c r="H17" s="68"/>
      <c r="I17" s="83"/>
    </row>
    <row r="18" spans="1:10" ht="25.05" customHeight="1">
      <c r="A18" s="75" t="s">
        <v>15</v>
      </c>
      <c r="B18" s="41" t="s">
        <v>16</v>
      </c>
      <c r="C18" s="41"/>
      <c r="D18" s="40" t="s">
        <v>17</v>
      </c>
      <c r="E18" s="40" t="s">
        <v>18</v>
      </c>
      <c r="F18" s="40" t="s">
        <v>19</v>
      </c>
      <c r="G18" s="41" t="s">
        <v>20</v>
      </c>
      <c r="H18" s="41"/>
      <c r="I18" s="84" t="s">
        <v>21</v>
      </c>
    </row>
    <row r="19" spans="1:10" ht="25.05" customHeight="1">
      <c r="A19" s="76" t="s">
        <v>22</v>
      </c>
      <c r="B19" s="43" t="s">
        <v>23</v>
      </c>
      <c r="C19" s="43"/>
      <c r="D19" s="42" t="s">
        <v>24</v>
      </c>
      <c r="E19" s="42">
        <v>1</v>
      </c>
      <c r="F19" s="44">
        <v>100</v>
      </c>
      <c r="G19" s="45">
        <f>E19*F19</f>
        <v>100</v>
      </c>
      <c r="H19" s="46"/>
      <c r="I19" s="85" t="s">
        <v>25</v>
      </c>
    </row>
    <row r="20" spans="1:10" ht="25.05" customHeight="1">
      <c r="A20" s="76" t="s">
        <v>26</v>
      </c>
      <c r="B20" s="43" t="s">
        <v>10</v>
      </c>
      <c r="C20" s="43"/>
      <c r="D20" s="42" t="s">
        <v>24</v>
      </c>
      <c r="E20" s="42">
        <v>1</v>
      </c>
      <c r="F20" s="44">
        <v>1800</v>
      </c>
      <c r="G20" s="45">
        <f>E20*F20</f>
        <v>1800</v>
      </c>
      <c r="H20" s="46"/>
      <c r="I20" s="85"/>
    </row>
    <row r="21" spans="1:10" ht="25.05" customHeight="1">
      <c r="A21" s="76" t="s">
        <v>27</v>
      </c>
      <c r="B21" s="43" t="s">
        <v>11</v>
      </c>
      <c r="C21" s="43"/>
      <c r="D21" s="42" t="s">
        <v>24</v>
      </c>
      <c r="E21" s="42">
        <v>1</v>
      </c>
      <c r="F21" s="44">
        <v>1700</v>
      </c>
      <c r="G21" s="45">
        <f>E21*F21</f>
        <v>1700</v>
      </c>
      <c r="H21" s="46"/>
      <c r="I21" s="85"/>
    </row>
    <row r="22" spans="1:10" ht="25.05" customHeight="1">
      <c r="A22" s="77" t="s">
        <v>28</v>
      </c>
      <c r="B22" s="48" t="s">
        <v>28</v>
      </c>
      <c r="C22" s="48"/>
      <c r="D22" s="47" t="s">
        <v>24</v>
      </c>
      <c r="E22" s="47">
        <v>1</v>
      </c>
      <c r="F22" s="49">
        <v>-100</v>
      </c>
      <c r="G22" s="50">
        <f>E22*F22</f>
        <v>-100</v>
      </c>
      <c r="H22" s="51"/>
      <c r="I22" s="85"/>
    </row>
    <row r="23" spans="1:10" ht="25.05" customHeight="1">
      <c r="A23" s="77" t="s">
        <v>29</v>
      </c>
      <c r="B23" s="48" t="s">
        <v>30</v>
      </c>
      <c r="C23" s="48"/>
      <c r="D23" s="47" t="s">
        <v>24</v>
      </c>
      <c r="E23" s="47">
        <v>1</v>
      </c>
      <c r="F23" s="49">
        <v>100</v>
      </c>
      <c r="G23" s="50">
        <f>E23*F23</f>
        <v>100</v>
      </c>
      <c r="H23" s="51"/>
      <c r="I23" s="85"/>
    </row>
    <row r="24" spans="1:10" ht="25.05" customHeight="1">
      <c r="A24" s="78" t="s">
        <v>31</v>
      </c>
      <c r="B24" s="52"/>
      <c r="C24" s="52"/>
      <c r="D24" s="53" t="s">
        <v>32</v>
      </c>
      <c r="E24" s="53"/>
      <c r="F24" s="53"/>
      <c r="G24" s="54">
        <f>SUM(G19:G23)</f>
        <v>3600</v>
      </c>
      <c r="H24" s="52"/>
      <c r="I24" s="86"/>
    </row>
    <row r="25" spans="1:10" ht="25.05" customHeight="1">
      <c r="A25" s="79" t="s">
        <v>33</v>
      </c>
      <c r="B25" s="41"/>
      <c r="C25" s="41"/>
      <c r="D25" s="55" t="s">
        <v>34</v>
      </c>
      <c r="E25" s="55"/>
      <c r="F25" s="55"/>
      <c r="G25" s="56">
        <f>G24*J25</f>
        <v>115379.99999999999</v>
      </c>
      <c r="H25" s="57"/>
      <c r="I25" s="87"/>
      <c r="J25">
        <v>32.049999999999997</v>
      </c>
    </row>
    <row r="26" spans="1:10" ht="25.05" customHeight="1">
      <c r="A26" s="74"/>
      <c r="B26" s="68"/>
      <c r="C26" s="68"/>
      <c r="D26" s="68"/>
      <c r="E26" s="68"/>
      <c r="F26" s="68"/>
      <c r="G26" s="68"/>
      <c r="H26" s="68"/>
      <c r="I26" s="83"/>
    </row>
    <row r="27" spans="1:10" ht="25.05" customHeight="1">
      <c r="A27" s="75" t="s">
        <v>35</v>
      </c>
      <c r="B27" s="41" t="s">
        <v>16</v>
      </c>
      <c r="C27" s="41"/>
      <c r="D27" s="40" t="s">
        <v>36</v>
      </c>
      <c r="E27" s="40" t="s">
        <v>18</v>
      </c>
      <c r="F27" s="40" t="s">
        <v>19</v>
      </c>
      <c r="G27" s="41" t="s">
        <v>37</v>
      </c>
      <c r="H27" s="41"/>
      <c r="I27" s="84" t="s">
        <v>21</v>
      </c>
    </row>
    <row r="28" spans="1:10" ht="25.05" customHeight="1">
      <c r="A28" s="76" t="s">
        <v>38</v>
      </c>
      <c r="B28" s="46" t="s">
        <v>39</v>
      </c>
      <c r="C28" s="46"/>
      <c r="D28" s="42" t="s">
        <v>40</v>
      </c>
      <c r="E28" s="42">
        <v>1</v>
      </c>
      <c r="F28" s="58">
        <v>7800</v>
      </c>
      <c r="G28" s="59">
        <f>E28*F28</f>
        <v>7800</v>
      </c>
      <c r="H28" s="46"/>
      <c r="I28" s="88" t="s">
        <v>41</v>
      </c>
    </row>
    <row r="29" spans="1:10" ht="25.05" customHeight="1">
      <c r="A29" s="76" t="s">
        <v>42</v>
      </c>
      <c r="B29" s="46" t="s">
        <v>39</v>
      </c>
      <c r="C29" s="46"/>
      <c r="D29" s="42" t="s">
        <v>40</v>
      </c>
      <c r="E29" s="42">
        <v>1</v>
      </c>
      <c r="F29" s="58">
        <v>4500</v>
      </c>
      <c r="G29" s="59">
        <f>E29*F29</f>
        <v>4500</v>
      </c>
      <c r="H29" s="46"/>
      <c r="I29" s="88"/>
    </row>
    <row r="30" spans="1:10" ht="25.05" customHeight="1">
      <c r="A30" s="76" t="s">
        <v>43</v>
      </c>
      <c r="B30" s="46" t="s">
        <v>44</v>
      </c>
      <c r="C30" s="46"/>
      <c r="D30" s="42" t="s">
        <v>40</v>
      </c>
      <c r="E30" s="42">
        <v>1</v>
      </c>
      <c r="F30" s="58">
        <v>4940</v>
      </c>
      <c r="G30" s="59">
        <f>E30*F30</f>
        <v>4940</v>
      </c>
      <c r="H30" s="46"/>
      <c r="I30" s="88"/>
    </row>
    <row r="31" spans="1:10" ht="25.05" customHeight="1">
      <c r="A31" s="76" t="s">
        <v>45</v>
      </c>
      <c r="B31" s="46" t="s">
        <v>44</v>
      </c>
      <c r="C31" s="46"/>
      <c r="D31" s="42" t="s">
        <v>40</v>
      </c>
      <c r="E31" s="42">
        <v>1</v>
      </c>
      <c r="F31" s="58">
        <v>0</v>
      </c>
      <c r="G31" s="59">
        <f>E31*F31</f>
        <v>0</v>
      </c>
      <c r="H31" s="46"/>
      <c r="I31" s="88"/>
    </row>
    <row r="32" spans="1:10" ht="25.05" customHeight="1">
      <c r="A32" s="76" t="s">
        <v>46</v>
      </c>
      <c r="B32" s="46" t="s">
        <v>47</v>
      </c>
      <c r="C32" s="46"/>
      <c r="D32" s="42" t="s">
        <v>40</v>
      </c>
      <c r="E32" s="42">
        <v>1</v>
      </c>
      <c r="F32" s="58">
        <v>3000</v>
      </c>
      <c r="G32" s="59">
        <f>E32*F32</f>
        <v>3000</v>
      </c>
      <c r="H32" s="46"/>
      <c r="I32" s="88" t="s">
        <v>48</v>
      </c>
    </row>
    <row r="33" spans="1:10" ht="25.05" customHeight="1">
      <c r="A33" s="76" t="s">
        <v>49</v>
      </c>
      <c r="B33" s="46" t="s">
        <v>47</v>
      </c>
      <c r="C33" s="46"/>
      <c r="D33" s="42" t="s">
        <v>24</v>
      </c>
      <c r="E33" s="42">
        <v>1</v>
      </c>
      <c r="F33" s="58">
        <v>6000</v>
      </c>
      <c r="G33" s="59">
        <f>E33*F33</f>
        <v>6000</v>
      </c>
      <c r="H33" s="46"/>
      <c r="I33" s="88"/>
    </row>
    <row r="34" spans="1:10" ht="25.05" customHeight="1">
      <c r="A34" s="76" t="s">
        <v>50</v>
      </c>
      <c r="B34" s="46" t="s">
        <v>51</v>
      </c>
      <c r="C34" s="46"/>
      <c r="D34" s="42" t="s">
        <v>40</v>
      </c>
      <c r="E34" s="42">
        <v>1</v>
      </c>
      <c r="F34" s="58">
        <v>2500</v>
      </c>
      <c r="G34" s="59">
        <f>E34*F34</f>
        <v>2500</v>
      </c>
      <c r="H34" s="46"/>
      <c r="I34" s="88"/>
    </row>
    <row r="35" spans="1:10" ht="25.05" customHeight="1">
      <c r="A35" s="76" t="s">
        <v>52</v>
      </c>
      <c r="B35" s="46" t="s">
        <v>47</v>
      </c>
      <c r="C35" s="46"/>
      <c r="D35" s="42" t="s">
        <v>24</v>
      </c>
      <c r="E35" s="42">
        <v>1</v>
      </c>
      <c r="F35" s="58">
        <v>2000</v>
      </c>
      <c r="G35" s="59">
        <f>E35*F35</f>
        <v>2000</v>
      </c>
      <c r="H35" s="46"/>
      <c r="I35" s="88"/>
    </row>
    <row r="36" spans="1:10" ht="25.05" customHeight="1">
      <c r="A36" s="76" t="s">
        <v>53</v>
      </c>
      <c r="B36" s="46" t="s">
        <v>54</v>
      </c>
      <c r="C36" s="46"/>
      <c r="D36" s="42" t="s">
        <v>40</v>
      </c>
      <c r="E36" s="42">
        <v>1</v>
      </c>
      <c r="F36" s="58">
        <v>200</v>
      </c>
      <c r="G36" s="59">
        <f>E36*F36</f>
        <v>200</v>
      </c>
      <c r="H36" s="46"/>
      <c r="I36" s="88"/>
    </row>
    <row r="37" spans="1:10" ht="25.05" customHeight="1">
      <c r="A37" s="78" t="s">
        <v>55</v>
      </c>
      <c r="B37" s="52"/>
      <c r="C37" s="52"/>
      <c r="D37" s="53" t="s">
        <v>56</v>
      </c>
      <c r="E37" s="53"/>
      <c r="F37" s="53"/>
      <c r="G37" s="60">
        <f>SUM(G28:G36)</f>
        <v>30940</v>
      </c>
      <c r="H37" s="52"/>
      <c r="I37" s="86"/>
    </row>
    <row r="38" spans="1:10" ht="25.05" customHeight="1">
      <c r="A38" s="79" t="s">
        <v>57</v>
      </c>
      <c r="B38" s="41"/>
      <c r="C38" s="41"/>
      <c r="D38" s="55" t="s">
        <v>58</v>
      </c>
      <c r="E38" s="55"/>
      <c r="F38" s="55"/>
      <c r="G38" s="56">
        <f>G37*J38</f>
        <v>18564</v>
      </c>
      <c r="H38" s="57"/>
      <c r="I38" s="87"/>
      <c r="J38">
        <v>0.6</v>
      </c>
    </row>
    <row r="39" spans="1:10" ht="25.05" customHeight="1">
      <c r="A39" s="74"/>
      <c r="B39" s="68"/>
      <c r="C39" s="68"/>
      <c r="D39" s="68"/>
      <c r="E39" s="68"/>
      <c r="F39" s="68"/>
      <c r="G39" s="68"/>
      <c r="H39" s="68"/>
      <c r="I39" s="83"/>
    </row>
    <row r="40" spans="1:10" ht="25.05" customHeight="1">
      <c r="A40" s="75" t="s">
        <v>59</v>
      </c>
      <c r="B40" s="41" t="s">
        <v>16</v>
      </c>
      <c r="C40" s="41"/>
      <c r="D40" s="40"/>
      <c r="E40" s="40" t="s">
        <v>18</v>
      </c>
      <c r="F40" s="40" t="s">
        <v>19</v>
      </c>
      <c r="G40" s="41" t="s">
        <v>60</v>
      </c>
      <c r="H40" s="41"/>
      <c r="I40" s="84" t="s">
        <v>21</v>
      </c>
    </row>
    <row r="41" spans="1:10" ht="25.05" customHeight="1">
      <c r="A41" s="76" t="s">
        <v>61</v>
      </c>
      <c r="B41" s="46" t="s">
        <v>62</v>
      </c>
      <c r="C41" s="46"/>
      <c r="D41" s="42" t="s">
        <v>63</v>
      </c>
      <c r="E41" s="42">
        <v>1</v>
      </c>
      <c r="F41" s="61">
        <v>10000</v>
      </c>
      <c r="G41" s="62">
        <f>E41*F41</f>
        <v>10000</v>
      </c>
      <c r="H41" s="46"/>
      <c r="I41" s="85" t="s">
        <v>64</v>
      </c>
    </row>
    <row r="42" spans="1:10" ht="25.05" customHeight="1">
      <c r="A42" s="76" t="s">
        <v>65</v>
      </c>
      <c r="B42" s="46" t="s">
        <v>66</v>
      </c>
      <c r="C42" s="46"/>
      <c r="D42" s="42" t="s">
        <v>67</v>
      </c>
      <c r="E42" s="42">
        <v>1</v>
      </c>
      <c r="F42" s="61">
        <v>1200</v>
      </c>
      <c r="G42" s="62">
        <f>E42*F42</f>
        <v>1200</v>
      </c>
      <c r="H42" s="46"/>
      <c r="I42" s="85" t="s">
        <v>68</v>
      </c>
    </row>
    <row r="43" spans="1:10" ht="25.05" customHeight="1">
      <c r="A43" s="76" t="s">
        <v>69</v>
      </c>
      <c r="B43" s="46"/>
      <c r="C43" s="46"/>
      <c r="D43" s="42"/>
      <c r="E43" s="42">
        <v>0</v>
      </c>
      <c r="F43" s="61">
        <v>0</v>
      </c>
      <c r="G43" s="62">
        <f>E43*F43</f>
        <v>0</v>
      </c>
      <c r="H43" s="46"/>
      <c r="I43" s="85" t="s">
        <v>70</v>
      </c>
    </row>
    <row r="44" spans="1:10" ht="25.05" customHeight="1">
      <c r="A44" s="78" t="s">
        <v>71</v>
      </c>
      <c r="B44" s="52"/>
      <c r="C44" s="52"/>
      <c r="D44" s="63" t="s">
        <v>72</v>
      </c>
      <c r="E44" s="63"/>
      <c r="F44" s="63"/>
      <c r="G44" s="64">
        <f>SUM(G41:G43)</f>
        <v>11200</v>
      </c>
      <c r="H44" s="65"/>
      <c r="I44" s="89"/>
    </row>
    <row r="45" spans="1:10" ht="25.05" customHeight="1">
      <c r="A45" s="80"/>
      <c r="B45" s="66"/>
      <c r="C45" s="66"/>
      <c r="D45" s="69" t="s">
        <v>73</v>
      </c>
      <c r="E45" s="69"/>
      <c r="F45" s="69"/>
      <c r="G45" s="70">
        <f>G25+G38+G44</f>
        <v>145144</v>
      </c>
      <c r="H45" s="71"/>
      <c r="I45" s="90"/>
    </row>
    <row r="46" spans="1:10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spans="1:10" ht="18" customHeight="1">
      <c r="A47" s="91" t="s">
        <v>74</v>
      </c>
      <c r="B47" s="92"/>
      <c r="C47" s="92"/>
      <c r="D47" s="92"/>
      <c r="E47" s="92"/>
      <c r="F47" s="92"/>
      <c r="G47" s="92"/>
      <c r="H47" s="92"/>
      <c r="I47" s="93"/>
    </row>
    <row r="48" spans="1:10" ht="18" customHeight="1">
      <c r="A48" s="94" t="s">
        <v>75</v>
      </c>
      <c r="B48" s="20"/>
      <c r="C48" s="20"/>
      <c r="D48" s="20"/>
      <c r="E48" s="20"/>
      <c r="F48" s="20"/>
      <c r="G48" s="20"/>
      <c r="H48" s="20"/>
      <c r="I48" s="21"/>
    </row>
    <row r="49" spans="1:9" ht="18" customHeight="1">
      <c r="A49" s="94" t="s">
        <v>76</v>
      </c>
      <c r="B49" s="20"/>
      <c r="C49" s="20"/>
      <c r="D49" s="20"/>
      <c r="E49" s="20"/>
      <c r="F49" s="20"/>
      <c r="G49" s="20"/>
      <c r="H49" s="20"/>
      <c r="I49" s="21"/>
    </row>
    <row r="50" spans="1:9" ht="18" customHeight="1">
      <c r="A50" s="94" t="s">
        <v>77</v>
      </c>
      <c r="B50" s="20"/>
      <c r="C50" s="20"/>
      <c r="D50" s="20"/>
      <c r="E50" s="20"/>
      <c r="F50" s="20"/>
      <c r="G50" s="20"/>
      <c r="H50" s="20"/>
      <c r="I50" s="21"/>
    </row>
    <row r="51" spans="1:9" ht="18" customHeight="1">
      <c r="A51" s="94" t="s">
        <v>78</v>
      </c>
      <c r="B51" s="20"/>
      <c r="C51" s="20"/>
      <c r="D51" s="20"/>
      <c r="E51" s="20"/>
      <c r="F51" s="20"/>
      <c r="G51" s="20"/>
      <c r="H51" s="20"/>
      <c r="I51" s="21"/>
    </row>
    <row r="52" spans="1:9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spans="1:9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spans="1:9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spans="1:9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spans="1:9" ht="13.5" customHeight="1">
      <c r="A56" s="28"/>
      <c r="B56" s="29"/>
      <c r="C56" s="29"/>
      <c r="D56" s="29"/>
      <c r="E56" s="29"/>
      <c r="F56" s="29"/>
      <c r="G56" s="29"/>
      <c r="H56" s="29"/>
      <c r="I56" s="30"/>
    </row>
    <row r="57" spans="1:9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B42:C42"/>
    <mergeCell ref="G42:H42"/>
    <mergeCell ref="B43:C43"/>
    <mergeCell ref="G43:H43"/>
    <mergeCell ref="G44:H44"/>
    <mergeCell ref="A44:C45"/>
    <mergeCell ref="G45:H45"/>
    <mergeCell ref="A38:C38"/>
    <mergeCell ref="G38:H38"/>
    <mergeCell ref="B40:C40"/>
    <mergeCell ref="G40:H40"/>
    <mergeCell ref="B41:C41"/>
    <mergeCell ref="G41:H41"/>
    <mergeCell ref="B35:C35"/>
    <mergeCell ref="G35:H35"/>
    <mergeCell ref="B36:C36"/>
    <mergeCell ref="G36:H36"/>
    <mergeCell ref="A37:C37"/>
    <mergeCell ref="G37:H37"/>
    <mergeCell ref="B32:C32"/>
    <mergeCell ref="G32:H32"/>
    <mergeCell ref="B33:C33"/>
    <mergeCell ref="G33:H33"/>
    <mergeCell ref="B34:C34"/>
    <mergeCell ref="G34:H34"/>
    <mergeCell ref="B29:C29"/>
    <mergeCell ref="G29:H29"/>
    <mergeCell ref="B30:C30"/>
    <mergeCell ref="G30:H30"/>
    <mergeCell ref="B31:C31"/>
    <mergeCell ref="G31:H31"/>
    <mergeCell ref="A25:C25"/>
    <mergeCell ref="G25:H25"/>
    <mergeCell ref="B27:C27"/>
    <mergeCell ref="G27:H27"/>
    <mergeCell ref="B28:C28"/>
    <mergeCell ref="G28:H28"/>
    <mergeCell ref="G22:H22"/>
    <mergeCell ref="B23:C23"/>
    <mergeCell ref="G23:H23"/>
    <mergeCell ref="A24:C24"/>
    <mergeCell ref="G24:H24"/>
    <mergeCell ref="H7:I7"/>
    <mergeCell ref="G10:H10"/>
    <mergeCell ref="C11:D11"/>
    <mergeCell ref="G11:H11"/>
    <mergeCell ref="G12:H12"/>
    <mergeCell ref="A14:B14"/>
    <mergeCell ref="A15:B15"/>
    <mergeCell ref="A56:I56"/>
    <mergeCell ref="D14:E14"/>
    <mergeCell ref="D15:E15"/>
    <mergeCell ref="F15:G15"/>
    <mergeCell ref="F14:G14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</mergeCells>
  <phoneticPr fontId="13" type="noConversion"/>
  <printOptions horizontalCentered="1"/>
  <pageMargins left="0.25" right="0.25" top="0.75" bottom="0.75" header="0" footer="0"/>
  <pageSetup paperSize="9" scale="5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liu</cp:lastModifiedBy>
  <dcterms:modified xsi:type="dcterms:W3CDTF">2026-03-19T08:30:42Z</dcterms:modified>
</cp:coreProperties>
</file>