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RMITORY" sheetId="1" r:id="rId4"/>
    <sheet state="visible" name="AZON - Condominium" sheetId="2" r:id="rId5"/>
  </sheets>
  <definedNames/>
  <calcPr/>
  <extLst>
    <ext uri="GoogleSheetsCustomDataVersion2">
      <go:sheetsCustomData xmlns:go="http://customooxmlschemas.google.com/" r:id="rId6" roundtripDataChecksum="bo5y2AqlSTOwo6IcVy9xv5AWkEddRMzNHoI1sHjwCO0="/>
    </ext>
  </extLst>
</workbook>
</file>

<file path=xl/sharedStrings.xml><?xml version="1.0" encoding="utf-8"?>
<sst xmlns="http://schemas.openxmlformats.org/spreadsheetml/2006/main" count="178" uniqueCount="76">
  <si>
    <t>LOCAL FEE(TW, CN), 2025 November 26 updated</t>
  </si>
  <si>
    <t>PARTICULAR</t>
  </si>
  <si>
    <t>1W</t>
  </si>
  <si>
    <t>2W</t>
  </si>
  <si>
    <t>3W</t>
  </si>
  <si>
    <t>4W</t>
  </si>
  <si>
    <t>5W</t>
  </si>
  <si>
    <t>6W</t>
  </si>
  <si>
    <t>7W</t>
  </si>
  <si>
    <t>8W</t>
  </si>
  <si>
    <t>9W</t>
  </si>
  <si>
    <t>10W</t>
  </si>
  <si>
    <t>11W</t>
  </si>
  <si>
    <t>12W</t>
  </si>
  <si>
    <t>13W</t>
  </si>
  <si>
    <t>14W</t>
  </si>
  <si>
    <t>15W</t>
  </si>
  <si>
    <t>16W</t>
  </si>
  <si>
    <t>17W</t>
  </si>
  <si>
    <t>18W</t>
  </si>
  <si>
    <t>19W</t>
  </si>
  <si>
    <t>20W</t>
  </si>
  <si>
    <t>21W</t>
  </si>
  <si>
    <t>22W</t>
  </si>
  <si>
    <t>23W</t>
  </si>
  <si>
    <t>24W</t>
  </si>
  <si>
    <t xml:space="preserve">Tuition </t>
  </si>
  <si>
    <t>Accommodatioin</t>
  </si>
  <si>
    <t>DORMITORY</t>
  </si>
  <si>
    <t>Special Study Permit (SSP)</t>
  </si>
  <si>
    <t>SSP ACR E-CARD</t>
  </si>
  <si>
    <t>TOURIST ACR I- CARD</t>
  </si>
  <si>
    <t>-</t>
  </si>
  <si>
    <t>School ID Card</t>
  </si>
  <si>
    <t>Visa Extension fee</t>
  </si>
  <si>
    <t>Water fee</t>
  </si>
  <si>
    <r>
      <rPr>
        <rFont val="Arial"/>
        <color rgb="FFFFFFFF"/>
        <sz val="11.0"/>
      </rPr>
      <t>Electricity fee</t>
    </r>
    <r>
      <rPr>
        <rFont val="Arial"/>
        <b/>
        <color rgb="FFFFFFFF"/>
        <sz val="11.0"/>
      </rPr>
      <t xml:space="preserve"> (公共用電及每間房間基本用電16度/週)</t>
    </r>
  </si>
  <si>
    <t>Deposit</t>
  </si>
  <si>
    <t>Maintenance Fee</t>
  </si>
  <si>
    <t>Pick-Up fee (Weekend)</t>
  </si>
  <si>
    <t>TOTAL AMOUNT</t>
  </si>
  <si>
    <t>重要備註:</t>
  </si>
  <si>
    <t>延簽費 for 59-day VISA</t>
  </si>
  <si>
    <t>延簽費 for 30-day VISA</t>
  </si>
  <si>
    <t>電費說明</t>
  </si>
  <si>
    <r>
      <rPr>
        <rFont val="Arial"/>
        <color theme="1"/>
        <sz val="12.0"/>
      </rPr>
      <t>電費涵蓋範圍為：就讀期間於校園內的公共用電、每間房間的基本用電(每週16度)
如房間內的使用量超出每週16度/每人，從第17度起，</t>
    </r>
    <r>
      <rPr>
        <rFont val="Arial"/>
        <b/>
        <color rgb="FF0000FF"/>
        <sz val="12.0"/>
      </rPr>
      <t>每度電的超額電費為P25/每人，此超額電費將按人頭數單獨計算，非平均分攤。</t>
    </r>
  </si>
  <si>
    <t>就讀週數</t>
  </si>
  <si>
    <t>金額</t>
  </si>
  <si>
    <t>總額</t>
  </si>
  <si>
    <t>1 ~ 4 weeks</t>
  </si>
  <si>
    <t xml:space="preserve"> </t>
  </si>
  <si>
    <t>特別備註</t>
  </si>
  <si>
    <r>
      <rPr>
        <rFont val="Arial"/>
        <color theme="1"/>
        <sz val="12.0"/>
      </rPr>
      <t>- 以上表格內的延簽費和TOURIST ACR I- CARD費用是</t>
    </r>
    <r>
      <rPr>
        <rFont val="Arial"/>
        <b/>
        <color rgb="FF0000FF"/>
        <sz val="12.0"/>
      </rPr>
      <t>以59天簽證入境為計算基礎。</t>
    </r>
    <r>
      <rPr>
        <rFont val="Arial"/>
        <b/>
        <color rgb="FFFF0000"/>
        <sz val="12.0"/>
      </rPr>
      <t xml:space="preserve">
</t>
    </r>
    <r>
      <rPr>
        <rFont val="Arial"/>
        <color theme="1"/>
        <sz val="12.0"/>
      </rPr>
      <t>如果學生持30天簽證入境，第一次延簽就需要辦理TOURIST ACR I- CARD。
如註冊週數超過4週或者預計在菲律賓停留超過30天，請盡可能申請59天簽證入境(僅限一次出入境)以節約成本 
- 以上表格內的接機費為</t>
    </r>
    <r>
      <rPr>
        <rFont val="Arial"/>
        <b/>
        <color rgb="FF0000FF"/>
        <sz val="12.0"/>
      </rPr>
      <t>週六日早上6點到午夜12點之間抵達</t>
    </r>
    <r>
      <rPr>
        <rFont val="Arial"/>
        <color theme="1"/>
        <sz val="12.0"/>
      </rPr>
      <t>的費用，</t>
    </r>
    <r>
      <rPr>
        <rFont val="Arial"/>
        <b/>
        <color rgb="FF0000FF"/>
        <sz val="12.0"/>
      </rPr>
      <t>如在週一至週五抵達(全時段)、或於週六日晚上12點至早上6點之間的紅眼時段抵達，將以1,500披索的費用計收</t>
    </r>
    <r>
      <rPr>
        <rFont val="Arial"/>
        <b/>
        <color rgb="FFFF0000"/>
        <sz val="12.0"/>
      </rPr>
      <t xml:space="preserve">
</t>
    </r>
    <r>
      <rPr>
        <rFont val="Arial"/>
        <color theme="1"/>
        <sz val="12.0"/>
      </rPr>
      <t xml:space="preserve">- </t>
    </r>
    <r>
      <rPr>
        <rFont val="Arial"/>
        <b/>
        <color theme="1"/>
        <sz val="12.0"/>
      </rPr>
      <t>自行到校規則：</t>
    </r>
    <r>
      <rPr>
        <rFont val="Arial"/>
        <color theme="1"/>
        <sz val="12.0"/>
      </rPr>
      <t xml:space="preserve">
如不需要接機，</t>
    </r>
    <r>
      <rPr>
        <rFont val="Arial"/>
        <b/>
        <color rgb="FF0000FF"/>
        <sz val="12.0"/>
      </rPr>
      <t>自行到校的時間僅限於以下時段：早上8點至下午5點</t>
    </r>
    <r>
      <rPr>
        <rFont val="Arial"/>
        <color theme="1"/>
        <sz val="12.0"/>
      </rPr>
      <t>。其他時間因無值班人員接待，恕不受理自行到校。</t>
    </r>
  </si>
  <si>
    <t>5 ~ 8 weeks</t>
  </si>
  <si>
    <t>9 ~ 12 weeks</t>
  </si>
  <si>
    <t>13 ~ 16 weeks</t>
  </si>
  <si>
    <t>17 ~ 20 weeks</t>
  </si>
  <si>
    <t>21 ~ 24 weeks</t>
  </si>
  <si>
    <t>特別注意：</t>
  </si>
  <si>
    <r>
      <rPr>
        <rFont val="Arial"/>
        <b/>
        <color rgb="FF1E4E79"/>
        <sz val="14.0"/>
      </rPr>
      <t xml:space="preserve">額外加課費用 (4週) </t>
    </r>
    <r>
      <rPr>
        <rFont val="Arial"/>
        <b/>
        <color rgb="FF0000FF"/>
        <sz val="14.0"/>
      </rPr>
      <t>須到校就讀後視老師的Availability才可安排額外加課</t>
    </r>
  </si>
  <si>
    <t>持30天簽證入境，第一次延簽就會收TOURIST ACR I- CARD的費用3500披索</t>
  </si>
  <si>
    <t>1:1 Class (ESL)</t>
  </si>
  <si>
    <t>SGC</t>
  </si>
  <si>
    <t>BGC</t>
  </si>
  <si>
    <t>1:1 Class (IELTS, Business, TOEIC, PTE, etc)</t>
  </si>
  <si>
    <t xml:space="preserve">提早入住、延後退房費用  </t>
  </si>
  <si>
    <t>進退房說明</t>
  </si>
  <si>
    <r>
      <rPr>
        <rFont val="Arial"/>
        <color theme="1"/>
        <sz val="12.0"/>
      </rPr>
      <t>本校入住日為週日。為整理房務需求，</t>
    </r>
    <r>
      <rPr>
        <rFont val="Arial"/>
        <b/>
        <color rgb="FF0000FF"/>
        <sz val="12.0"/>
      </rPr>
      <t>本校的最早入住時間為週日早上八點，最晚退房時間為週六下午一點。</t>
    </r>
    <r>
      <rPr>
        <rFont val="Arial"/>
        <color theme="1"/>
        <sz val="12.0"/>
      </rPr>
      <t xml:space="preserve">
如需提早入住、延後退房，</t>
    </r>
    <r>
      <rPr>
        <rFont val="Arial"/>
        <b/>
        <color rgb="FF0000FF"/>
        <sz val="12.0"/>
      </rPr>
      <t>不分註冊房型，收取3000披索(含三餐)/每日/每人</t>
    </r>
  </si>
  <si>
    <t>需向本校提前申請，如房況緊缺，無法提供學生提早入住/延後退房，學生仍須依照指定日期入住和退房，校外住宿需自理，恕不代訂</t>
  </si>
  <si>
    <t>AZON CONDO</t>
  </si>
  <si>
    <r>
      <rPr>
        <rFont val="Arial"/>
        <color rgb="FFFFFFFF"/>
        <sz val="11.0"/>
      </rPr>
      <t xml:space="preserve">Electricity fee  </t>
    </r>
    <r>
      <rPr>
        <rFont val="Arial"/>
        <b/>
        <color rgb="FFFFFFFF"/>
        <sz val="11.0"/>
      </rPr>
      <t>(公共用電及每間房間基本用電)</t>
    </r>
  </si>
  <si>
    <t>Pick-Up (Weekend)</t>
  </si>
  <si>
    <t>Electricity additional bill: For Azon condominium users, if the amount of monthly bill exceeds 5,000 pesos per person, the users must shoulder the additional charge.</t>
  </si>
  <si>
    <r>
      <rPr>
        <rFont val="Arial"/>
        <color theme="1"/>
        <sz val="12.0"/>
      </rPr>
      <t>- 以上表格內的延簽費和TOURIST ACR I- CARD費用是</t>
    </r>
    <r>
      <rPr>
        <rFont val="Arial"/>
        <b/>
        <color rgb="FF0000FF"/>
        <sz val="12.0"/>
      </rPr>
      <t>以59天簽證入境為計算基礎。</t>
    </r>
    <r>
      <rPr>
        <rFont val="Arial"/>
        <b/>
        <color rgb="FFFF0000"/>
        <sz val="12.0"/>
      </rPr>
      <t xml:space="preserve">
</t>
    </r>
    <r>
      <rPr>
        <rFont val="Arial"/>
        <color theme="1"/>
        <sz val="12.0"/>
      </rPr>
      <t>如果學生持30天簽證入境，第一次延簽就需要辦理TOURIST ACR I- CARD。
如註冊週數超過4週或者預計在菲律賓停留超過30天，請盡可能申請59天簽證入境(僅限一次出入境)以節約成本 
- 以上表格內的接機費為</t>
    </r>
    <r>
      <rPr>
        <rFont val="Arial"/>
        <b/>
        <color rgb="FF0000FF"/>
        <sz val="12.0"/>
      </rPr>
      <t>週六日早上6點到午夜12點之間抵達</t>
    </r>
    <r>
      <rPr>
        <rFont val="Arial"/>
        <color theme="1"/>
        <sz val="12.0"/>
      </rPr>
      <t>的費用，</t>
    </r>
    <r>
      <rPr>
        <rFont val="Arial"/>
        <b/>
        <color rgb="FF0000FF"/>
        <sz val="12.0"/>
      </rPr>
      <t>如在週一至週五抵達(全時段)、或於週六日晚上12點至早上6點之間的紅眼時段抵達，將以1,500披索的費用計收</t>
    </r>
    <r>
      <rPr>
        <rFont val="Arial"/>
        <b/>
        <color rgb="FFFF0000"/>
        <sz val="12.0"/>
      </rPr>
      <t xml:space="preserve">
</t>
    </r>
    <r>
      <rPr>
        <rFont val="Arial"/>
        <color theme="1"/>
        <sz val="12.0"/>
      </rPr>
      <t xml:space="preserve">- </t>
    </r>
    <r>
      <rPr>
        <rFont val="Arial"/>
        <b/>
        <color theme="1"/>
        <sz val="12.0"/>
      </rPr>
      <t>自行到校規則：</t>
    </r>
    <r>
      <rPr>
        <rFont val="Arial"/>
        <color theme="1"/>
        <sz val="12.0"/>
      </rPr>
      <t xml:space="preserve">
如不需要接機，</t>
    </r>
    <r>
      <rPr>
        <rFont val="Arial"/>
        <b/>
        <color rgb="FF0000FF"/>
        <sz val="12.0"/>
      </rPr>
      <t>自行到校的時間僅限於以下時段：早上8點至下午5點</t>
    </r>
    <r>
      <rPr>
        <rFont val="Arial"/>
        <color theme="1"/>
        <sz val="12.0"/>
      </rPr>
      <t>。其他時間因無值班人員接待，恕不受理自行到校。</t>
    </r>
  </si>
  <si>
    <r>
      <rPr>
        <rFont val="Arial"/>
        <b/>
        <color rgb="FF1E4E79"/>
        <sz val="14.0"/>
      </rPr>
      <t xml:space="preserve">額外加課費用 (4週) </t>
    </r>
    <r>
      <rPr>
        <rFont val="Arial"/>
        <b/>
        <color rgb="FF0000FF"/>
        <sz val="14.0"/>
      </rPr>
      <t>須到校就讀後視老師的Availability才可安排額外加課</t>
    </r>
  </si>
  <si>
    <r>
      <rPr>
        <rFont val="Arial"/>
        <color theme="1"/>
        <sz val="12.0"/>
      </rPr>
      <t>本校入住日為週日。為整理房務需求，</t>
    </r>
    <r>
      <rPr>
        <rFont val="Arial"/>
        <b/>
        <color rgb="FF0000FF"/>
        <sz val="12.0"/>
      </rPr>
      <t>本校的最早入住時間為週日早上八點，最晚退房時間為週六下午一點。</t>
    </r>
    <r>
      <rPr>
        <rFont val="Arial"/>
        <color theme="1"/>
        <sz val="12.0"/>
      </rPr>
      <t xml:space="preserve">
如需提早入住、延後退房，</t>
    </r>
    <r>
      <rPr>
        <rFont val="Arial"/>
        <b/>
        <color rgb="FF0000FF"/>
        <sz val="12.0"/>
      </rPr>
      <t>不分註冊房型，收取3000披索(含三餐)/每日/每人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</si>
</sst>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[$$-409]* #,##0_);_([$$-409]* \(#,##0\);_([$$-409]* &quot;-&quot;??_);_(@_)"/>
    <numFmt numFmtId="166" formatCode="_(* #,##0.00_);_(* \(#,##0.00\);_(* &quot;-&quot;??_);_(@_)"/>
    <numFmt numFmtId="167" formatCode="&quot;$&quot;#,##0_);[Red]\(&quot;$&quot;#,##0\)"/>
  </numFmts>
  <fonts count="26">
    <font>
      <sz val="11.0"/>
      <color theme="1"/>
      <name val="Candara"/>
      <scheme val="minor"/>
    </font>
    <font>
      <b/>
      <sz val="48.0"/>
      <color theme="1"/>
      <name val="Arial"/>
    </font>
    <font>
      <sz val="9.0"/>
      <color theme="1"/>
      <name val="Arial"/>
    </font>
    <font/>
    <font>
      <sz val="11.0"/>
      <color theme="0"/>
      <name val="Arial"/>
    </font>
    <font>
      <sz val="9.0"/>
      <color theme="0"/>
      <name val="Arial"/>
    </font>
    <font>
      <sz val="12.0"/>
      <color theme="0"/>
      <name val="Arial"/>
    </font>
    <font>
      <sz val="12.0"/>
      <color theme="1"/>
      <name val="Arial"/>
    </font>
    <font>
      <b/>
      <i/>
      <sz val="20.0"/>
      <color theme="0"/>
      <name val="Arial"/>
    </font>
    <font>
      <sz val="11.0"/>
      <color rgb="FF000000"/>
      <name val="Arial"/>
    </font>
    <font>
      <sz val="11.0"/>
      <color rgb="FFFFFFFF"/>
      <name val="Arial"/>
    </font>
    <font>
      <b/>
      <sz val="11.0"/>
      <color rgb="FFFF0000"/>
      <name val="Arial"/>
    </font>
    <font>
      <sz val="11.0"/>
      <color theme="1"/>
      <name val="Arial"/>
    </font>
    <font>
      <b/>
      <sz val="14.0"/>
      <color rgb="FFFFFFFF"/>
      <name val="Arial"/>
    </font>
    <font>
      <sz val="10.0"/>
      <color theme="1"/>
      <name val="Arial"/>
    </font>
    <font>
      <b/>
      <sz val="14.0"/>
      <color rgb="FF002060"/>
      <name val="Arial"/>
    </font>
    <font>
      <sz val="12.0"/>
      <color rgb="FFFFFFFF"/>
      <name val="Arial"/>
    </font>
    <font>
      <b/>
      <sz val="11.0"/>
      <color rgb="FF4C0099"/>
      <name val="Arial"/>
    </font>
    <font>
      <b/>
      <i/>
      <sz val="11.0"/>
      <color rgb="FF4C0099"/>
      <name val="Arial"/>
    </font>
    <font>
      <b/>
      <sz val="10.0"/>
      <color theme="1"/>
      <name val="Arial"/>
    </font>
    <font>
      <b/>
      <sz val="14.0"/>
      <color rgb="FF1E4E79"/>
      <name val="Arial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1.0"/>
      <color rgb="FF000000"/>
      <name val="Arial"/>
    </font>
    <font>
      <b/>
      <sz val="11.0"/>
      <color theme="1"/>
      <name val="Arial"/>
    </font>
    <font>
      <sz val="14.0"/>
      <color theme="0"/>
      <name val="Arial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2E75B5"/>
        <bgColor rgb="FF2E75B5"/>
      </patternFill>
    </fill>
    <fill>
      <patternFill patternType="solid">
        <fgColor rgb="FF1F3864"/>
        <bgColor rgb="FF1F3864"/>
      </patternFill>
    </fill>
    <fill>
      <patternFill patternType="solid">
        <fgColor rgb="FFE2EFD9"/>
        <bgColor rgb="FFE2EFD9"/>
      </patternFill>
    </fill>
    <fill>
      <patternFill patternType="solid">
        <fgColor rgb="FFDBEBD0"/>
        <bgColor rgb="FFDBEBD0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8EAADB"/>
        <bgColor rgb="FF8EAADB"/>
      </patternFill>
    </fill>
    <fill>
      <patternFill patternType="solid">
        <fgColor rgb="FF333F4F"/>
        <bgColor rgb="FF333F4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5EBF0"/>
        <bgColor rgb="FFF5EBF0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548135"/>
        <bgColor rgb="FF548135"/>
      </patternFill>
    </fill>
    <fill>
      <patternFill patternType="solid">
        <fgColor rgb="FF29401A"/>
        <bgColor rgb="FF29401A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63">
    <border/>
    <border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bottom style="thin">
        <color rgb="FF000000"/>
      </bottom>
    </border>
    <border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</border>
    <border>
      <left/>
      <right style="medium">
        <color theme="0"/>
      </right>
    </border>
    <border>
      <left/>
      <right style="medium">
        <color theme="0"/>
      </right>
      <bottom style="medium">
        <color theme="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medium">
        <color rgb="FF000000"/>
      </right>
      <top style="thin">
        <color theme="0"/>
      </top>
      <bottom style="thin">
        <color theme="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right style="medium">
        <color rgb="FF000000"/>
      </right>
      <top style="thin">
        <color rgb="FF4472C4"/>
      </top>
      <bottom style="thin">
        <color rgb="FF4472C4"/>
      </bottom>
    </border>
    <border>
      <left style="medium">
        <color rgb="FF000000"/>
      </left>
      <right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theme="0"/>
      </top>
      <bottom style="medium">
        <color rgb="FF000000"/>
      </bottom>
    </border>
    <border>
      <right style="thin">
        <color theme="0"/>
      </right>
      <top style="thin">
        <color theme="0"/>
      </top>
      <bottom style="medium">
        <color rgb="FF000000"/>
      </bottom>
    </border>
    <border>
      <left style="thin">
        <color theme="0"/>
      </left>
      <top style="thin">
        <color theme="0"/>
      </top>
      <bottom style="medium">
        <color rgb="FF000000"/>
      </bottom>
    </border>
    <border>
      <right style="medium">
        <color rgb="FF000000"/>
      </right>
      <top style="thin">
        <color theme="0"/>
      </top>
      <bottom style="medium">
        <color rgb="FF000000"/>
      </bottom>
    </border>
    <border>
      <left style="medium">
        <color rgb="FF000000"/>
      </left>
      <top style="thin">
        <color rgb="FF4472C4"/>
      </top>
      <bottom style="medium">
        <color rgb="FF000000"/>
      </bottom>
    </border>
    <border>
      <right style="thin">
        <color rgb="FF4472C4"/>
      </right>
      <top style="thin">
        <color rgb="FF4472C4"/>
      </top>
      <bottom style="medium">
        <color rgb="FF000000"/>
      </bottom>
    </border>
    <border>
      <left style="thin">
        <color rgb="FF4472C4"/>
      </left>
      <top style="thin">
        <color rgb="FF4472C4"/>
      </top>
      <bottom style="medium">
        <color rgb="FF000000"/>
      </bottom>
    </border>
    <border>
      <right style="medium">
        <color rgb="FF000000"/>
      </right>
      <top style="thin">
        <color rgb="FF4472C4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theme="0"/>
      </bottom>
    </border>
    <border>
      <right style="thin">
        <color theme="0"/>
      </right>
      <top style="medium">
        <color rgb="FF000000"/>
      </top>
      <bottom style="thin">
        <color theme="0"/>
      </bottom>
    </border>
    <border>
      <left style="thin">
        <color theme="0"/>
      </left>
      <top style="medium">
        <color rgb="FF000000"/>
      </top>
      <bottom style="thin">
        <color theme="0"/>
      </bottom>
    </border>
    <border>
      <right style="thin">
        <color theme="0"/>
      </right>
      <top style="medium">
        <color rgb="FF000000"/>
      </top>
    </border>
    <border>
      <left style="thin">
        <color theme="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theme="0"/>
      </left>
      <right style="medium">
        <color rgb="FF000000"/>
      </right>
      <top style="thin">
        <color theme="0"/>
      </top>
      <bottom style="medium">
        <color rgb="FF000000"/>
      </bottom>
    </border>
    <border>
      <right style="thin">
        <color theme="0"/>
      </right>
      <bottom style="medium">
        <color rgb="FF000000"/>
      </bottom>
    </border>
    <border>
      <left style="thin">
        <color theme="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/>
    </border>
    <border>
      <right style="thick">
        <color rgb="FF000000"/>
      </right>
    </border>
    <border>
      <left style="thick">
        <color rgb="FF000000"/>
      </left>
      <right/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0" fontId="3" numFmtId="0" xfId="0" applyBorder="1" applyFont="1"/>
    <xf borderId="2" fillId="0" fontId="4" numFmtId="0" xfId="0" applyBorder="1" applyFont="1"/>
    <xf borderId="3" fillId="0" fontId="5" numFmtId="0" xfId="0" applyBorder="1" applyFont="1"/>
    <xf borderId="3" fillId="2" fontId="5" numFmtId="9" xfId="0" applyAlignment="1" applyBorder="1" applyFill="1" applyFont="1" applyNumberFormat="1">
      <alignment horizontal="center"/>
    </xf>
    <xf borderId="3" fillId="2" fontId="5" numFmtId="1" xfId="0" applyAlignment="1" applyBorder="1" applyFont="1" applyNumberFormat="1">
      <alignment horizontal="center"/>
    </xf>
    <xf borderId="0" fillId="0" fontId="5" numFmtId="0" xfId="0" applyFont="1"/>
    <xf borderId="4" fillId="3" fontId="6" numFmtId="0" xfId="0" applyAlignment="1" applyBorder="1" applyFill="1" applyFont="1">
      <alignment vertical="center"/>
    </xf>
    <xf borderId="3" fillId="3" fontId="6" numFmtId="0" xfId="0" applyAlignment="1" applyBorder="1" applyFont="1">
      <alignment vertical="center"/>
    </xf>
    <xf borderId="3" fillId="3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6" fillId="0" fontId="7" numFmtId="0" xfId="0" applyAlignment="1" applyBorder="1" applyFont="1">
      <alignment horizontal="center"/>
    </xf>
    <xf borderId="6" fillId="0" fontId="3" numFmtId="0" xfId="0" applyBorder="1" applyFont="1"/>
    <xf borderId="7" fillId="0" fontId="2" numFmtId="0" xfId="0" applyAlignment="1" applyBorder="1" applyFont="1">
      <alignment horizontal="center"/>
    </xf>
    <xf borderId="7" fillId="0" fontId="3" numFmtId="0" xfId="0" applyBorder="1" applyFont="1"/>
    <xf borderId="2" fillId="0" fontId="3" numFmtId="0" xfId="0" applyBorder="1" applyFont="1"/>
    <xf borderId="8" fillId="4" fontId="8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left" shrinkToFit="0" vertical="center" wrapText="1"/>
    </xf>
    <xf borderId="3" fillId="6" fontId="9" numFmtId="164" xfId="0" applyBorder="1" applyFill="1" applyFont="1" applyNumberFormat="1"/>
    <xf borderId="0" fillId="0" fontId="2" numFmtId="165" xfId="0" applyFont="1" applyNumberFormat="1"/>
    <xf borderId="9" fillId="0" fontId="3" numFmtId="0" xfId="0" applyBorder="1" applyFont="1"/>
    <xf borderId="3" fillId="5" fontId="10" numFmtId="0" xfId="0" applyAlignment="1" applyBorder="1" applyFont="1">
      <alignment horizontal="left" shrinkToFit="0" vertical="center" wrapText="1"/>
    </xf>
    <xf borderId="3" fillId="7" fontId="9" numFmtId="164" xfId="0" applyAlignment="1" applyBorder="1" applyFill="1" applyFont="1" applyNumberFormat="1">
      <alignment horizontal="center"/>
    </xf>
    <xf borderId="3" fillId="7" fontId="9" numFmtId="164" xfId="0" applyBorder="1" applyFont="1" applyNumberFormat="1"/>
    <xf borderId="3" fillId="8" fontId="11" numFmtId="164" xfId="0" applyAlignment="1" applyBorder="1" applyFill="1" applyFont="1" applyNumberFormat="1">
      <alignment readingOrder="0"/>
    </xf>
    <xf borderId="3" fillId="9" fontId="12" numFmtId="164" xfId="0" applyBorder="1" applyFill="1" applyFont="1" applyNumberFormat="1"/>
    <xf borderId="3" fillId="9" fontId="9" numFmtId="164" xfId="0" applyBorder="1" applyFont="1" applyNumberFormat="1"/>
    <xf borderId="5" fillId="9" fontId="9" numFmtId="164" xfId="0" applyBorder="1" applyFont="1" applyNumberFormat="1"/>
    <xf borderId="3" fillId="10" fontId="12" numFmtId="164" xfId="0" applyBorder="1" applyFill="1" applyFont="1" applyNumberFormat="1"/>
    <xf borderId="3" fillId="7" fontId="12" numFmtId="164" xfId="0" applyBorder="1" applyFont="1" applyNumberFormat="1"/>
    <xf borderId="3" fillId="8" fontId="11" numFmtId="164" xfId="0" applyBorder="1" applyFont="1" applyNumberFormat="1"/>
    <xf borderId="5" fillId="8" fontId="11" numFmtId="164" xfId="0" applyBorder="1" applyFont="1" applyNumberFormat="1"/>
    <xf borderId="10" fillId="0" fontId="3" numFmtId="0" xfId="0" applyBorder="1" applyFont="1"/>
    <xf borderId="3" fillId="11" fontId="6" numFmtId="0" xfId="0" applyAlignment="1" applyBorder="1" applyFill="1" applyFont="1">
      <alignment horizontal="left" shrinkToFit="0" vertical="center" wrapText="1"/>
    </xf>
    <xf borderId="3" fillId="11" fontId="6" numFmtId="164" xfId="0" applyAlignment="1" applyBorder="1" applyFont="1" applyNumberFormat="1">
      <alignment horizontal="center" vertical="center"/>
    </xf>
    <xf borderId="0" fillId="0" fontId="12" numFmtId="0" xfId="0" applyFont="1"/>
    <xf borderId="11" fillId="3" fontId="13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0" fillId="0" fontId="14" numFmtId="0" xfId="0" applyFont="1"/>
    <xf borderId="11" fillId="12" fontId="15" numFmtId="0" xfId="0" applyAlignment="1" applyBorder="1" applyFill="1" applyFont="1">
      <alignment horizontal="center" vertical="center"/>
    </xf>
    <xf borderId="14" fillId="13" fontId="15" numFmtId="0" xfId="0" applyAlignment="1" applyBorder="1" applyFill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3" fontId="16" numFmtId="0" xfId="0" applyAlignment="1" applyBorder="1" applyFont="1">
      <alignment horizontal="center" vertical="center"/>
    </xf>
    <xf borderId="14" fillId="14" fontId="7" numFmtId="2" xfId="0" applyAlignment="1" applyBorder="1" applyFill="1" applyFont="1" applyNumberFormat="1">
      <alignment horizontal="left" readingOrder="0" shrinkToFit="0" vertical="center" wrapText="1"/>
    </xf>
    <xf borderId="18" fillId="15" fontId="7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15" fontId="7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8" fillId="6" fontId="12" numFmtId="0" xfId="0" applyAlignment="1" applyBorder="1" applyFont="1">
      <alignment horizontal="center" vertical="center"/>
    </xf>
    <xf borderId="20" fillId="6" fontId="12" numFmtId="0" xfId="0" applyAlignment="1" applyBorder="1" applyFont="1">
      <alignment horizontal="right" vertical="center"/>
    </xf>
    <xf borderId="20" fillId="6" fontId="17" numFmtId="0" xfId="0" applyAlignment="1" applyBorder="1" applyFont="1">
      <alignment horizontal="center" vertical="center"/>
    </xf>
    <xf borderId="26" fillId="6" fontId="12" numFmtId="0" xfId="0" applyAlignment="1" applyBorder="1" applyFont="1">
      <alignment horizontal="center" vertical="center"/>
    </xf>
    <xf borderId="27" fillId="0" fontId="3" numFmtId="0" xfId="0" applyBorder="1" applyFont="1"/>
    <xf borderId="28" fillId="6" fontId="12" numFmtId="0" xfId="0" applyAlignment="1" applyBorder="1" applyFont="1">
      <alignment horizontal="right" vertical="center"/>
    </xf>
    <xf borderId="28" fillId="6" fontId="17" numFmtId="0" xfId="0" applyAlignment="1" applyBorder="1" applyFont="1">
      <alignment horizontal="center" vertical="center"/>
    </xf>
    <xf borderId="29" fillId="0" fontId="3" numFmtId="0" xfId="0" applyBorder="1" applyFont="1"/>
    <xf borderId="20" fillId="6" fontId="12" numFmtId="166" xfId="0" applyAlignment="1" applyBorder="1" applyFont="1" applyNumberFormat="1">
      <alignment horizontal="center" vertical="center"/>
    </xf>
    <xf borderId="20" fillId="6" fontId="18" numFmtId="166" xfId="0" applyAlignment="1" applyBorder="1" applyFont="1" applyNumberFormat="1">
      <alignment horizontal="center" vertical="center"/>
    </xf>
    <xf borderId="28" fillId="6" fontId="12" numFmtId="166" xfId="0" applyAlignment="1" applyBorder="1" applyFont="1" applyNumberFormat="1">
      <alignment horizontal="center" vertical="center"/>
    </xf>
    <xf borderId="28" fillId="6" fontId="18" numFmtId="166" xfId="0" applyAlignment="1" applyBorder="1" applyFont="1" applyNumberForma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6" fontId="12" numFmtId="0" xfId="0" applyAlignment="1" applyBorder="1" applyFont="1">
      <alignment horizontal="center" vertical="center"/>
    </xf>
    <xf borderId="34" fillId="0" fontId="3" numFmtId="0" xfId="0" applyBorder="1" applyFont="1"/>
    <xf borderId="35" fillId="6" fontId="12" numFmtId="166" xfId="0" applyAlignment="1" applyBorder="1" applyFont="1" applyNumberFormat="1">
      <alignment horizontal="center" vertical="center"/>
    </xf>
    <xf borderId="35" fillId="6" fontId="18" numFmtId="166" xfId="0" applyAlignment="1" applyBorder="1" applyFont="1" applyNumberFormat="1">
      <alignment horizontal="center" vertical="center"/>
    </xf>
    <xf borderId="36" fillId="0" fontId="3" numFmtId="0" xfId="0" applyBorder="1" applyFont="1"/>
    <xf borderId="37" fillId="6" fontId="12" numFmtId="0" xfId="0" applyAlignment="1" applyBorder="1" applyFont="1">
      <alignment horizontal="center" vertical="center"/>
    </xf>
    <xf borderId="38" fillId="0" fontId="3" numFmtId="0" xfId="0" applyBorder="1" applyFont="1"/>
    <xf borderId="39" fillId="6" fontId="12" numFmtId="166" xfId="0" applyAlignment="1" applyBorder="1" applyFont="1" applyNumberFormat="1">
      <alignment horizontal="center" vertical="center"/>
    </xf>
    <xf borderId="39" fillId="6" fontId="18" numFmtId="166" xfId="0" applyAlignment="1" applyBorder="1" applyFont="1" applyNumberFormat="1">
      <alignment horizontal="center" vertical="center"/>
    </xf>
    <xf borderId="40" fillId="0" fontId="3" numFmtId="0" xfId="0" applyBorder="1" applyFont="1"/>
    <xf borderId="0" fillId="0" fontId="19" numFmtId="0" xfId="0" applyFont="1"/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0" numFmtId="0" xfId="0" applyAlignment="1" applyFont="1">
      <alignment horizontal="left" readingOrder="0" vertical="center"/>
    </xf>
    <xf borderId="41" fillId="9" fontId="12" numFmtId="0" xfId="0" applyAlignment="1" applyBorder="1" applyFont="1">
      <alignment readingOrder="0" vertical="center"/>
    </xf>
    <xf borderId="42" fillId="0" fontId="3" numFmtId="0" xfId="0" applyBorder="1" applyFont="1"/>
    <xf borderId="43" fillId="16" fontId="23" numFmtId="167" xfId="0" applyAlignment="1" applyBorder="1" applyFill="1" applyFont="1" applyNumberFormat="1">
      <alignment horizontal="center" vertical="center"/>
    </xf>
    <xf borderId="14" fillId="9" fontId="12" numFmtId="0" xfId="0" applyAlignment="1" applyBorder="1" applyFont="1">
      <alignment horizontal="center" vertical="center"/>
    </xf>
    <xf borderId="44" fillId="0" fontId="3" numFmtId="0" xfId="0" applyBorder="1" applyFont="1"/>
    <xf borderId="45" fillId="16" fontId="24" numFmtId="167" xfId="0" applyAlignment="1" applyBorder="1" applyFont="1" applyNumberFormat="1">
      <alignment horizontal="center" vertical="center"/>
    </xf>
    <xf borderId="46" fillId="16" fontId="24" numFmtId="167" xfId="0" applyAlignment="1" applyBorder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33" fillId="9" fontId="11" numFmtId="0" xfId="0" applyAlignment="1" applyBorder="1" applyFont="1">
      <alignment readingOrder="0" vertical="center"/>
    </xf>
    <xf borderId="47" fillId="16" fontId="11" numFmtId="167" xfId="0" applyAlignment="1" applyBorder="1" applyFont="1" applyNumberFormat="1">
      <alignment horizontal="center" readingOrder="0" vertical="center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3" fontId="16" numFmtId="0" xfId="0" applyAlignment="1" applyBorder="1" applyFont="1">
      <alignment horizontal="center" vertical="center"/>
    </xf>
    <xf borderId="52" fillId="14" fontId="7" numFmtId="2" xfId="0" applyAlignment="1" applyBorder="1" applyFont="1" applyNumberFormat="1">
      <alignment horizontal="left" shrinkToFit="0" vertical="center" wrapText="1"/>
    </xf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0" fillId="0" fontId="16" numFmtId="0" xfId="0" applyAlignment="1" applyFont="1">
      <alignment horizontal="center" vertical="center"/>
    </xf>
    <xf borderId="0" fillId="0" fontId="7" numFmtId="2" xfId="0" applyAlignment="1" applyFont="1" applyNumberFormat="1">
      <alignment horizontal="left" shrinkToFit="0" vertical="center" wrapText="1"/>
    </xf>
    <xf borderId="8" fillId="17" fontId="8" numFmtId="0" xfId="0" applyAlignment="1" applyBorder="1" applyFill="1" applyFont="1">
      <alignment horizontal="center" shrinkToFit="0" vertical="center" wrapText="1"/>
    </xf>
    <xf borderId="3" fillId="18" fontId="4" numFmtId="0" xfId="0" applyAlignment="1" applyBorder="1" applyFill="1" applyFont="1">
      <alignment shrinkToFit="0" vertical="center" wrapText="1"/>
    </xf>
    <xf borderId="3" fillId="19" fontId="9" numFmtId="164" xfId="0" applyBorder="1" applyFill="1" applyFont="1" applyNumberFormat="1"/>
    <xf borderId="3" fillId="18" fontId="10" numFmtId="0" xfId="0" applyAlignment="1" applyBorder="1" applyFont="1">
      <alignment shrinkToFit="0" vertical="center" wrapText="1"/>
    </xf>
    <xf borderId="3" fillId="8" fontId="9" numFmtId="164" xfId="0" applyAlignment="1" applyBorder="1" applyFont="1" applyNumberFormat="1">
      <alignment horizontal="center"/>
    </xf>
    <xf borderId="3" fillId="8" fontId="9" numFmtId="164" xfId="0" applyBorder="1" applyFont="1" applyNumberFormat="1"/>
    <xf borderId="3" fillId="20" fontId="11" numFmtId="164" xfId="0" applyAlignment="1" applyBorder="1" applyFill="1" applyFont="1" applyNumberFormat="1">
      <alignment readingOrder="0"/>
    </xf>
    <xf borderId="3" fillId="21" fontId="12" numFmtId="164" xfId="0" applyBorder="1" applyFill="1" applyFont="1" applyNumberFormat="1"/>
    <xf borderId="3" fillId="19" fontId="12" numFmtId="164" xfId="0" applyBorder="1" applyFont="1" applyNumberFormat="1"/>
    <xf borderId="3" fillId="8" fontId="12" numFmtId="164" xfId="0" applyBorder="1" applyFont="1" applyNumberFormat="1"/>
    <xf borderId="3" fillId="20" fontId="12" numFmtId="164" xfId="0" applyBorder="1" applyFont="1" applyNumberFormat="1"/>
    <xf borderId="3" fillId="21" fontId="11" numFmtId="164" xfId="0" applyAlignment="1" applyBorder="1" applyFont="1" applyNumberFormat="1">
      <alignment readingOrder="0"/>
    </xf>
    <xf borderId="3" fillId="21" fontId="11" numFmtId="164" xfId="0" applyBorder="1" applyFont="1" applyNumberFormat="1"/>
    <xf borderId="5" fillId="21" fontId="11" numFmtId="164" xfId="0" applyBorder="1" applyFont="1" applyNumberFormat="1"/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59" fillId="3" fontId="13" numFmtId="0" xfId="0" applyAlignment="1" applyBorder="1" applyFont="1">
      <alignment horizontal="left" vertical="center"/>
    </xf>
    <xf borderId="60" fillId="3" fontId="25" numFmtId="0" xfId="0" applyAlignment="1" applyBorder="1" applyFont="1">
      <alignment horizontal="left" vertical="center"/>
    </xf>
    <xf borderId="61" fillId="3" fontId="25" numFmtId="0" xfId="0" applyAlignment="1" applyBorder="1" applyFont="1">
      <alignment horizontal="left" vertical="center"/>
    </xf>
    <xf borderId="62" fillId="3" fontId="25" numFmtId="0" xfId="0" applyAlignment="1" applyBorder="1" applyFont="1">
      <alignment horizontal="left" vertical="center"/>
    </xf>
    <xf borderId="14" fillId="14" fontId="12" numFmtId="2" xfId="0" applyAlignment="1" applyBorder="1" applyFont="1" applyNumberFormat="1">
      <alignment horizontal="center" shrinkToFit="0" vertical="center" wrapText="1"/>
    </xf>
    <xf borderId="15" fillId="14" fontId="7" numFmtId="2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19050</xdr:rowOff>
    </xdr:from>
    <xdr:ext cx="21526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38100</xdr:rowOff>
    </xdr:from>
    <xdr:ext cx="2095500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538135"/>
      </a:accent2>
      <a:accent3>
        <a:srgbClr val="9933FF"/>
      </a:accent3>
      <a:accent4>
        <a:srgbClr val="6F3B55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ndara"/>
        <a:ea typeface="Candara"/>
        <a:cs typeface="Candara"/>
      </a:majorFont>
      <a:minorFont>
        <a:latin typeface="Candara"/>
        <a:ea typeface="Candara"/>
        <a:cs typeface="Candar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5.88"/>
    <col customWidth="1" min="3" max="26" width="10.63"/>
    <col customWidth="1" min="28" max="28" width="9.0"/>
    <col customWidth="1" min="29" max="29" width="1.13"/>
    <col customWidth="1" min="30" max="30" width="17.88"/>
    <col customWidth="1" min="31" max="40" width="9.0"/>
  </cols>
  <sheetData>
    <row r="1" ht="15.0" customHeight="1">
      <c r="A1" s="1" t="s">
        <v>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.0" customHeight="1"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5.0" customHeight="1"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5.0" customHeight="1"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5.0" customHeight="1"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7.5" customHeight="1"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4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13.5" hidden="1" customHeight="1">
      <c r="A8" s="4"/>
      <c r="B8" s="5"/>
      <c r="C8" s="6"/>
      <c r="D8" s="7">
        <v>2.0</v>
      </c>
      <c r="E8" s="7">
        <v>3.0</v>
      </c>
      <c r="F8" s="7">
        <v>4.0</v>
      </c>
      <c r="G8" s="7">
        <v>5.0</v>
      </c>
      <c r="H8" s="7">
        <v>6.0</v>
      </c>
      <c r="I8" s="7">
        <v>7.0</v>
      </c>
      <c r="J8" s="7">
        <v>8.0</v>
      </c>
      <c r="K8" s="7">
        <v>9.0</v>
      </c>
      <c r="L8" s="7">
        <v>10.0</v>
      </c>
      <c r="M8" s="7">
        <v>11.0</v>
      </c>
      <c r="N8" s="7">
        <v>12.0</v>
      </c>
      <c r="O8" s="7">
        <v>13.0</v>
      </c>
      <c r="P8" s="7">
        <v>14.0</v>
      </c>
      <c r="Q8" s="7">
        <v>15.0</v>
      </c>
      <c r="R8" s="7">
        <v>16.0</v>
      </c>
      <c r="S8" s="7">
        <v>17.0</v>
      </c>
      <c r="T8" s="7">
        <v>18.0</v>
      </c>
      <c r="U8" s="7">
        <v>19.0</v>
      </c>
      <c r="V8" s="7">
        <v>20.0</v>
      </c>
      <c r="W8" s="7">
        <v>21.0</v>
      </c>
      <c r="X8" s="7">
        <v>22.0</v>
      </c>
      <c r="Y8" s="7">
        <v>23.0</v>
      </c>
      <c r="Z8" s="7">
        <v>24.0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ht="26.25" customHeight="1">
      <c r="A9" s="9"/>
      <c r="B9" s="10" t="s">
        <v>1</v>
      </c>
      <c r="C9" s="11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7</v>
      </c>
      <c r="I9" s="11" t="s">
        <v>8</v>
      </c>
      <c r="J9" s="11" t="s">
        <v>9</v>
      </c>
      <c r="K9" s="11" t="s">
        <v>10</v>
      </c>
      <c r="L9" s="11" t="s">
        <v>11</v>
      </c>
      <c r="M9" s="11" t="s">
        <v>12</v>
      </c>
      <c r="N9" s="11" t="s">
        <v>13</v>
      </c>
      <c r="O9" s="11" t="s">
        <v>14</v>
      </c>
      <c r="P9" s="11" t="s">
        <v>15</v>
      </c>
      <c r="Q9" s="11" t="s">
        <v>16</v>
      </c>
      <c r="R9" s="11" t="s">
        <v>17</v>
      </c>
      <c r="S9" s="11" t="s">
        <v>18</v>
      </c>
      <c r="T9" s="11" t="s">
        <v>19</v>
      </c>
      <c r="U9" s="11" t="s">
        <v>20</v>
      </c>
      <c r="V9" s="11" t="s">
        <v>21</v>
      </c>
      <c r="W9" s="11" t="s">
        <v>22</v>
      </c>
      <c r="X9" s="11" t="s">
        <v>23</v>
      </c>
      <c r="Y9" s="11" t="s">
        <v>24</v>
      </c>
      <c r="Z9" s="12" t="s">
        <v>25</v>
      </c>
      <c r="AA9" s="13"/>
      <c r="AB9" s="13"/>
      <c r="AC9" s="13"/>
      <c r="AD9" s="14" t="s">
        <v>26</v>
      </c>
      <c r="AE9" s="15"/>
      <c r="AF9" s="15"/>
      <c r="AG9" s="15"/>
      <c r="AH9" s="15"/>
      <c r="AI9" s="13"/>
      <c r="AJ9" s="14" t="s">
        <v>27</v>
      </c>
      <c r="AK9" s="15"/>
      <c r="AL9" s="15"/>
      <c r="AM9" s="15"/>
      <c r="AN9" s="15"/>
    </row>
    <row r="10" ht="4.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25.5" customHeight="1">
      <c r="A11" s="19" t="s">
        <v>28</v>
      </c>
      <c r="B11" s="20" t="s">
        <v>29</v>
      </c>
      <c r="C11" s="21">
        <v>7800.0</v>
      </c>
      <c r="D11" s="21">
        <v>7800.0</v>
      </c>
      <c r="E11" s="21">
        <v>7800.0</v>
      </c>
      <c r="F11" s="21">
        <v>7800.0</v>
      </c>
      <c r="G11" s="21">
        <v>7800.0</v>
      </c>
      <c r="H11" s="21">
        <v>7800.0</v>
      </c>
      <c r="I11" s="21">
        <v>7800.0</v>
      </c>
      <c r="J11" s="21">
        <v>7800.0</v>
      </c>
      <c r="K11" s="21">
        <v>7800.0</v>
      </c>
      <c r="L11" s="21">
        <v>7800.0</v>
      </c>
      <c r="M11" s="21">
        <v>7800.0</v>
      </c>
      <c r="N11" s="21">
        <v>7800.0</v>
      </c>
      <c r="O11" s="21">
        <v>7800.0</v>
      </c>
      <c r="P11" s="21">
        <v>7800.0</v>
      </c>
      <c r="Q11" s="21">
        <v>7800.0</v>
      </c>
      <c r="R11" s="21">
        <v>7800.0</v>
      </c>
      <c r="S11" s="21">
        <v>7800.0</v>
      </c>
      <c r="T11" s="21">
        <v>7800.0</v>
      </c>
      <c r="U11" s="21">
        <v>7800.0</v>
      </c>
      <c r="V11" s="21">
        <v>7800.0</v>
      </c>
      <c r="W11" s="21">
        <v>7800.0</v>
      </c>
      <c r="X11" s="21">
        <v>7800.0</v>
      </c>
      <c r="Y11" s="21">
        <v>7800.0</v>
      </c>
      <c r="Z11" s="21">
        <v>7800.0</v>
      </c>
      <c r="AA11" s="22"/>
      <c r="AB11" s="2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25.5" customHeight="1">
      <c r="A12" s="23"/>
      <c r="B12" s="24" t="s">
        <v>30</v>
      </c>
      <c r="C12" s="21">
        <v>4500.0</v>
      </c>
      <c r="D12" s="21">
        <v>4500.0</v>
      </c>
      <c r="E12" s="21">
        <v>4500.0</v>
      </c>
      <c r="F12" s="21">
        <v>4500.0</v>
      </c>
      <c r="G12" s="21">
        <v>4500.0</v>
      </c>
      <c r="H12" s="21">
        <v>4500.0</v>
      </c>
      <c r="I12" s="21">
        <v>4500.0</v>
      </c>
      <c r="J12" s="21">
        <v>4500.0</v>
      </c>
      <c r="K12" s="21">
        <v>4500.0</v>
      </c>
      <c r="L12" s="21">
        <v>4500.0</v>
      </c>
      <c r="M12" s="21">
        <v>4500.0</v>
      </c>
      <c r="N12" s="21">
        <v>4500.0</v>
      </c>
      <c r="O12" s="21">
        <v>4500.0</v>
      </c>
      <c r="P12" s="21">
        <v>4500.0</v>
      </c>
      <c r="Q12" s="21">
        <v>4500.0</v>
      </c>
      <c r="R12" s="21">
        <v>4500.0</v>
      </c>
      <c r="S12" s="21">
        <v>4500.0</v>
      </c>
      <c r="T12" s="21">
        <v>4500.0</v>
      </c>
      <c r="U12" s="21">
        <v>4500.0</v>
      </c>
      <c r="V12" s="21">
        <v>4500.0</v>
      </c>
      <c r="W12" s="21">
        <v>4500.0</v>
      </c>
      <c r="X12" s="21">
        <v>4500.0</v>
      </c>
      <c r="Y12" s="21">
        <v>4500.0</v>
      </c>
      <c r="Z12" s="21">
        <v>4500.0</v>
      </c>
      <c r="AA12" s="22"/>
      <c r="AB12" s="2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5.5" customHeight="1">
      <c r="A13" s="23"/>
      <c r="B13" s="24" t="s">
        <v>31</v>
      </c>
      <c r="C13" s="25" t="s">
        <v>32</v>
      </c>
      <c r="D13" s="25" t="s">
        <v>32</v>
      </c>
      <c r="E13" s="25" t="s">
        <v>32</v>
      </c>
      <c r="F13" s="25" t="s">
        <v>32</v>
      </c>
      <c r="G13" s="25" t="s">
        <v>32</v>
      </c>
      <c r="H13" s="25" t="s">
        <v>32</v>
      </c>
      <c r="I13" s="25" t="s">
        <v>32</v>
      </c>
      <c r="J13" s="25" t="s">
        <v>32</v>
      </c>
      <c r="K13" s="26">
        <v>4000.0</v>
      </c>
      <c r="L13" s="26">
        <v>4000.0</v>
      </c>
      <c r="M13" s="26">
        <v>4000.0</v>
      </c>
      <c r="N13" s="26">
        <v>4000.0</v>
      </c>
      <c r="O13" s="26">
        <v>4000.0</v>
      </c>
      <c r="P13" s="26">
        <v>4000.0</v>
      </c>
      <c r="Q13" s="26">
        <v>4000.0</v>
      </c>
      <c r="R13" s="26">
        <v>4000.0</v>
      </c>
      <c r="S13" s="26">
        <v>4000.0</v>
      </c>
      <c r="T13" s="26">
        <v>4000.0</v>
      </c>
      <c r="U13" s="26">
        <v>4000.0</v>
      </c>
      <c r="V13" s="26">
        <v>4000.0</v>
      </c>
      <c r="W13" s="26">
        <v>4000.0</v>
      </c>
      <c r="X13" s="26">
        <v>4000.0</v>
      </c>
      <c r="Y13" s="26">
        <v>4000.0</v>
      </c>
      <c r="Z13" s="26">
        <v>4000.0</v>
      </c>
      <c r="AA13" s="22"/>
      <c r="AB13" s="2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5.5" customHeight="1">
      <c r="A14" s="23"/>
      <c r="B14" s="20" t="s">
        <v>33</v>
      </c>
      <c r="C14" s="27">
        <v>400.0</v>
      </c>
      <c r="D14" s="27">
        <v>400.0</v>
      </c>
      <c r="E14" s="27">
        <v>400.0</v>
      </c>
      <c r="F14" s="27">
        <v>400.0</v>
      </c>
      <c r="G14" s="27">
        <v>400.0</v>
      </c>
      <c r="H14" s="27">
        <v>400.0</v>
      </c>
      <c r="I14" s="27">
        <v>400.0</v>
      </c>
      <c r="J14" s="27">
        <v>400.0</v>
      </c>
      <c r="K14" s="27">
        <v>400.0</v>
      </c>
      <c r="L14" s="27">
        <v>400.0</v>
      </c>
      <c r="M14" s="27">
        <v>400.0</v>
      </c>
      <c r="N14" s="27">
        <v>400.0</v>
      </c>
      <c r="O14" s="27">
        <v>400.0</v>
      </c>
      <c r="P14" s="27">
        <v>400.0</v>
      </c>
      <c r="Q14" s="27">
        <v>400.0</v>
      </c>
      <c r="R14" s="27">
        <v>400.0</v>
      </c>
      <c r="S14" s="27">
        <v>400.0</v>
      </c>
      <c r="T14" s="27">
        <v>400.0</v>
      </c>
      <c r="U14" s="27">
        <v>400.0</v>
      </c>
      <c r="V14" s="27">
        <v>400.0</v>
      </c>
      <c r="W14" s="27">
        <v>400.0</v>
      </c>
      <c r="X14" s="27">
        <v>400.0</v>
      </c>
      <c r="Y14" s="27">
        <v>400.0</v>
      </c>
      <c r="Z14" s="27">
        <v>400.0</v>
      </c>
      <c r="AA14" s="22"/>
      <c r="AB14" s="2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25.5" customHeight="1">
      <c r="A15" s="23"/>
      <c r="B15" s="20" t="s">
        <v>34</v>
      </c>
      <c r="C15" s="28"/>
      <c r="D15" s="28"/>
      <c r="E15" s="28"/>
      <c r="F15" s="28"/>
      <c r="G15" s="28"/>
      <c r="H15" s="28"/>
      <c r="I15" s="28"/>
      <c r="J15" s="28"/>
      <c r="K15" s="29">
        <v>6920.0</v>
      </c>
      <c r="L15" s="29">
        <v>6920.0</v>
      </c>
      <c r="M15" s="29">
        <v>6920.0</v>
      </c>
      <c r="N15" s="29">
        <v>6920.0</v>
      </c>
      <c r="O15" s="29">
        <v>11360.0</v>
      </c>
      <c r="P15" s="29">
        <v>11360.0</v>
      </c>
      <c r="Q15" s="29">
        <v>11360.0</v>
      </c>
      <c r="R15" s="29">
        <v>11360.0</v>
      </c>
      <c r="S15" s="29">
        <v>16310.0</v>
      </c>
      <c r="T15" s="29">
        <v>16310.0</v>
      </c>
      <c r="U15" s="29">
        <v>16310.0</v>
      </c>
      <c r="V15" s="29">
        <v>16310.0</v>
      </c>
      <c r="W15" s="29">
        <v>21760.0</v>
      </c>
      <c r="X15" s="29">
        <v>21760.0</v>
      </c>
      <c r="Y15" s="29">
        <v>21760.0</v>
      </c>
      <c r="Z15" s="30">
        <v>21760.0</v>
      </c>
      <c r="AA15" s="22"/>
      <c r="AB15" s="2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5.5" customHeight="1">
      <c r="A16" s="23"/>
      <c r="B16" s="20" t="s">
        <v>35</v>
      </c>
      <c r="C16" s="31">
        <v>250.0</v>
      </c>
      <c r="D16" s="31">
        <v>500.0</v>
      </c>
      <c r="E16" s="31">
        <v>750.0</v>
      </c>
      <c r="F16" s="31">
        <v>1000.0</v>
      </c>
      <c r="G16" s="31">
        <v>1250.0</v>
      </c>
      <c r="H16" s="31">
        <v>1500.0</v>
      </c>
      <c r="I16" s="31">
        <v>1750.0</v>
      </c>
      <c r="J16" s="31">
        <v>2000.0</v>
      </c>
      <c r="K16" s="31">
        <v>2250.0</v>
      </c>
      <c r="L16" s="31">
        <v>2500.0</v>
      </c>
      <c r="M16" s="31">
        <v>2750.0</v>
      </c>
      <c r="N16" s="31">
        <v>3000.0</v>
      </c>
      <c r="O16" s="31">
        <v>3250.0</v>
      </c>
      <c r="P16" s="31">
        <v>3500.0</v>
      </c>
      <c r="Q16" s="31">
        <v>3750.0</v>
      </c>
      <c r="R16" s="31">
        <v>4000.0</v>
      </c>
      <c r="S16" s="31">
        <v>4250.0</v>
      </c>
      <c r="T16" s="31">
        <v>4500.0</v>
      </c>
      <c r="U16" s="31">
        <v>4750.0</v>
      </c>
      <c r="V16" s="31">
        <v>5000.0</v>
      </c>
      <c r="W16" s="31">
        <v>5250.0</v>
      </c>
      <c r="X16" s="31">
        <v>5500.0</v>
      </c>
      <c r="Y16" s="31">
        <v>5750.0</v>
      </c>
      <c r="Z16" s="31">
        <v>6000.0</v>
      </c>
      <c r="AA16" s="22"/>
      <c r="AB16" s="2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37.5" customHeight="1">
      <c r="A17" s="23"/>
      <c r="B17" s="24" t="s">
        <v>36</v>
      </c>
      <c r="C17" s="21">
        <v>700.0</v>
      </c>
      <c r="D17" s="21">
        <f t="shared" ref="D17:Z17" si="1">$C$17*D8</f>
        <v>1400</v>
      </c>
      <c r="E17" s="21">
        <f t="shared" si="1"/>
        <v>2100</v>
      </c>
      <c r="F17" s="21">
        <f t="shared" si="1"/>
        <v>2800</v>
      </c>
      <c r="G17" s="21">
        <f t="shared" si="1"/>
        <v>3500</v>
      </c>
      <c r="H17" s="21">
        <f t="shared" si="1"/>
        <v>4200</v>
      </c>
      <c r="I17" s="21">
        <f t="shared" si="1"/>
        <v>4900</v>
      </c>
      <c r="J17" s="21">
        <f t="shared" si="1"/>
        <v>5600</v>
      </c>
      <c r="K17" s="21">
        <f t="shared" si="1"/>
        <v>6300</v>
      </c>
      <c r="L17" s="21">
        <f t="shared" si="1"/>
        <v>7000</v>
      </c>
      <c r="M17" s="21">
        <f t="shared" si="1"/>
        <v>7700</v>
      </c>
      <c r="N17" s="21">
        <f t="shared" si="1"/>
        <v>8400</v>
      </c>
      <c r="O17" s="21">
        <f t="shared" si="1"/>
        <v>9100</v>
      </c>
      <c r="P17" s="21">
        <f t="shared" si="1"/>
        <v>9800</v>
      </c>
      <c r="Q17" s="21">
        <f t="shared" si="1"/>
        <v>10500</v>
      </c>
      <c r="R17" s="21">
        <f t="shared" si="1"/>
        <v>11200</v>
      </c>
      <c r="S17" s="21">
        <f t="shared" si="1"/>
        <v>11900</v>
      </c>
      <c r="T17" s="21">
        <f t="shared" si="1"/>
        <v>12600</v>
      </c>
      <c r="U17" s="21">
        <f t="shared" si="1"/>
        <v>13300</v>
      </c>
      <c r="V17" s="21">
        <f t="shared" si="1"/>
        <v>14000</v>
      </c>
      <c r="W17" s="21">
        <f t="shared" si="1"/>
        <v>14700</v>
      </c>
      <c r="X17" s="21">
        <f t="shared" si="1"/>
        <v>15400</v>
      </c>
      <c r="Y17" s="21">
        <f t="shared" si="1"/>
        <v>16100</v>
      </c>
      <c r="Z17" s="21">
        <f t="shared" si="1"/>
        <v>16800</v>
      </c>
      <c r="AA17" s="22"/>
      <c r="AB17" s="2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25.5" customHeight="1">
      <c r="A18" s="23"/>
      <c r="B18" s="20" t="s">
        <v>37</v>
      </c>
      <c r="C18" s="32">
        <v>2000.0</v>
      </c>
      <c r="D18" s="32">
        <v>2000.0</v>
      </c>
      <c r="E18" s="32">
        <v>3000.0</v>
      </c>
      <c r="F18" s="32">
        <v>3000.0</v>
      </c>
      <c r="G18" s="32">
        <v>3000.0</v>
      </c>
      <c r="H18" s="32">
        <v>3000.0</v>
      </c>
      <c r="I18" s="32">
        <v>3000.0</v>
      </c>
      <c r="J18" s="32">
        <v>4000.0</v>
      </c>
      <c r="K18" s="32">
        <v>4000.0</v>
      </c>
      <c r="L18" s="32">
        <v>4000.0</v>
      </c>
      <c r="M18" s="32">
        <v>4000.0</v>
      </c>
      <c r="N18" s="32">
        <v>5000.0</v>
      </c>
      <c r="O18" s="32">
        <v>5000.0</v>
      </c>
      <c r="P18" s="32">
        <v>5000.0</v>
      </c>
      <c r="Q18" s="32">
        <v>5000.0</v>
      </c>
      <c r="R18" s="32">
        <v>5000.0</v>
      </c>
      <c r="S18" s="32">
        <v>5000.0</v>
      </c>
      <c r="T18" s="32">
        <v>5000.0</v>
      </c>
      <c r="U18" s="32">
        <v>5000.0</v>
      </c>
      <c r="V18" s="32">
        <v>5000.0</v>
      </c>
      <c r="W18" s="32">
        <v>5000.0</v>
      </c>
      <c r="X18" s="32">
        <v>5000.0</v>
      </c>
      <c r="Y18" s="32">
        <v>5000.0</v>
      </c>
      <c r="Z18" s="32">
        <v>5000.0</v>
      </c>
      <c r="AA18" s="22"/>
      <c r="AB18" s="2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5.5" customHeight="1">
      <c r="A19" s="23"/>
      <c r="B19" s="24" t="s">
        <v>38</v>
      </c>
      <c r="C19" s="27">
        <v>550.0</v>
      </c>
      <c r="D19" s="33">
        <f>C19*2</f>
        <v>1100</v>
      </c>
      <c r="E19" s="33">
        <f>C19*3</f>
        <v>1650</v>
      </c>
      <c r="F19" s="33">
        <f>C19*4</f>
        <v>2200</v>
      </c>
      <c r="G19" s="33">
        <f>C19*5</f>
        <v>2750</v>
      </c>
      <c r="H19" s="33">
        <f>C19*6</f>
        <v>3300</v>
      </c>
      <c r="I19" s="33">
        <f>C19*7</f>
        <v>3850</v>
      </c>
      <c r="J19" s="33">
        <f>C19*8</f>
        <v>4400</v>
      </c>
      <c r="K19" s="33">
        <f>C19*9</f>
        <v>4950</v>
      </c>
      <c r="L19" s="33">
        <f>C19*10</f>
        <v>5500</v>
      </c>
      <c r="M19" s="33">
        <f>C19*11</f>
        <v>6050</v>
      </c>
      <c r="N19" s="33">
        <f>C19*12</f>
        <v>6600</v>
      </c>
      <c r="O19" s="33">
        <f>C19*13</f>
        <v>7150</v>
      </c>
      <c r="P19" s="33">
        <f>C19*14</f>
        <v>7700</v>
      </c>
      <c r="Q19" s="33">
        <f>C19*15</f>
        <v>8250</v>
      </c>
      <c r="R19" s="33">
        <f>C19*16</f>
        <v>8800</v>
      </c>
      <c r="S19" s="33">
        <f>C19*17</f>
        <v>9350</v>
      </c>
      <c r="T19" s="33">
        <f>C19*18</f>
        <v>9900</v>
      </c>
      <c r="U19" s="33">
        <f>C19*19</f>
        <v>10450</v>
      </c>
      <c r="V19" s="33">
        <f>C19*20</f>
        <v>11000</v>
      </c>
      <c r="W19" s="33">
        <f>C19*21</f>
        <v>11550</v>
      </c>
      <c r="X19" s="33">
        <f>C19*22</f>
        <v>12100</v>
      </c>
      <c r="Y19" s="33">
        <f>C19*23</f>
        <v>12650</v>
      </c>
      <c r="Z19" s="34">
        <f>C19*24</f>
        <v>13200</v>
      </c>
      <c r="AA19" s="22"/>
      <c r="AB19" s="2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5.5" customHeight="1">
      <c r="A20" s="23"/>
      <c r="B20" s="24" t="s">
        <v>39</v>
      </c>
      <c r="C20" s="28">
        <v>1200.0</v>
      </c>
      <c r="D20" s="28">
        <v>1200.0</v>
      </c>
      <c r="E20" s="28">
        <v>1200.0</v>
      </c>
      <c r="F20" s="28">
        <v>1200.0</v>
      </c>
      <c r="G20" s="28">
        <v>1200.0</v>
      </c>
      <c r="H20" s="28">
        <v>1200.0</v>
      </c>
      <c r="I20" s="28">
        <v>1200.0</v>
      </c>
      <c r="J20" s="28">
        <v>1200.0</v>
      </c>
      <c r="K20" s="28">
        <v>1200.0</v>
      </c>
      <c r="L20" s="28">
        <v>1200.0</v>
      </c>
      <c r="M20" s="28">
        <v>1200.0</v>
      </c>
      <c r="N20" s="28">
        <v>1200.0</v>
      </c>
      <c r="O20" s="28">
        <v>1200.0</v>
      </c>
      <c r="P20" s="28">
        <v>1200.0</v>
      </c>
      <c r="Q20" s="28">
        <v>1200.0</v>
      </c>
      <c r="R20" s="28">
        <v>1200.0</v>
      </c>
      <c r="S20" s="28">
        <v>1200.0</v>
      </c>
      <c r="T20" s="28">
        <v>1200.0</v>
      </c>
      <c r="U20" s="28">
        <v>1200.0</v>
      </c>
      <c r="V20" s="28">
        <v>1200.0</v>
      </c>
      <c r="W20" s="28">
        <v>1200.0</v>
      </c>
      <c r="X20" s="28">
        <v>1200.0</v>
      </c>
      <c r="Y20" s="28">
        <v>1200.0</v>
      </c>
      <c r="Z20" s="28">
        <v>1200.0</v>
      </c>
      <c r="AA20" s="22"/>
      <c r="AB20" s="2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5.5" customHeight="1">
      <c r="A21" s="35"/>
      <c r="B21" s="36" t="s">
        <v>40</v>
      </c>
      <c r="C21" s="37">
        <f t="shared" ref="C21:Z21" si="2">SUM(C11:C20)</f>
        <v>17400</v>
      </c>
      <c r="D21" s="37">
        <f t="shared" si="2"/>
        <v>18900</v>
      </c>
      <c r="E21" s="37">
        <f t="shared" si="2"/>
        <v>21400</v>
      </c>
      <c r="F21" s="37">
        <f t="shared" si="2"/>
        <v>22900</v>
      </c>
      <c r="G21" s="37">
        <f t="shared" si="2"/>
        <v>24400</v>
      </c>
      <c r="H21" s="37">
        <f t="shared" si="2"/>
        <v>25900</v>
      </c>
      <c r="I21" s="37">
        <f t="shared" si="2"/>
        <v>27400</v>
      </c>
      <c r="J21" s="37">
        <f t="shared" si="2"/>
        <v>29900</v>
      </c>
      <c r="K21" s="37">
        <f t="shared" si="2"/>
        <v>42320</v>
      </c>
      <c r="L21" s="37">
        <f t="shared" si="2"/>
        <v>43820</v>
      </c>
      <c r="M21" s="37">
        <f t="shared" si="2"/>
        <v>45320</v>
      </c>
      <c r="N21" s="37">
        <f t="shared" si="2"/>
        <v>47820</v>
      </c>
      <c r="O21" s="37">
        <f t="shared" si="2"/>
        <v>53760</v>
      </c>
      <c r="P21" s="37">
        <f t="shared" si="2"/>
        <v>55260</v>
      </c>
      <c r="Q21" s="37">
        <f t="shared" si="2"/>
        <v>56760</v>
      </c>
      <c r="R21" s="37">
        <f t="shared" si="2"/>
        <v>58260</v>
      </c>
      <c r="S21" s="37">
        <f t="shared" si="2"/>
        <v>64710</v>
      </c>
      <c r="T21" s="37">
        <f t="shared" si="2"/>
        <v>66210</v>
      </c>
      <c r="U21" s="37">
        <f t="shared" si="2"/>
        <v>67710</v>
      </c>
      <c r="V21" s="37">
        <f t="shared" si="2"/>
        <v>69210</v>
      </c>
      <c r="W21" s="37">
        <f t="shared" si="2"/>
        <v>76160</v>
      </c>
      <c r="X21" s="37">
        <f t="shared" si="2"/>
        <v>77660</v>
      </c>
      <c r="Y21" s="37">
        <f t="shared" si="2"/>
        <v>79160</v>
      </c>
      <c r="Z21" s="37">
        <f t="shared" si="2"/>
        <v>80660</v>
      </c>
      <c r="AA21" s="22"/>
      <c r="AB21" s="2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18.0" customHeight="1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24.75" customHeight="1">
      <c r="A23" s="39" t="s">
        <v>41</v>
      </c>
      <c r="B23" s="40"/>
      <c r="C23" s="40"/>
      <c r="D23" s="40"/>
      <c r="E23" s="40"/>
      <c r="F23" s="40"/>
      <c r="G23" s="40"/>
      <c r="H23" s="40"/>
      <c r="I23" s="40"/>
      <c r="J23" s="41"/>
      <c r="K23" s="42"/>
      <c r="L23" s="42"/>
      <c r="M23" s="42"/>
      <c r="N23" s="42"/>
      <c r="O23" s="43" t="s">
        <v>42</v>
      </c>
      <c r="P23" s="40"/>
      <c r="Q23" s="40"/>
      <c r="R23" s="40"/>
      <c r="S23" s="40"/>
      <c r="T23" s="41"/>
      <c r="U23" s="44" t="s">
        <v>43</v>
      </c>
      <c r="V23" s="45"/>
      <c r="W23" s="45"/>
      <c r="X23" s="45"/>
      <c r="Y23" s="45"/>
      <c r="Z23" s="46"/>
      <c r="AA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</row>
    <row r="24" ht="28.5" customHeight="1">
      <c r="A24" s="47" t="s">
        <v>44</v>
      </c>
      <c r="B24" s="48" t="s">
        <v>45</v>
      </c>
      <c r="C24" s="45"/>
      <c r="D24" s="45"/>
      <c r="E24" s="45"/>
      <c r="F24" s="45"/>
      <c r="G24" s="45"/>
      <c r="H24" s="45"/>
      <c r="I24" s="45"/>
      <c r="J24" s="46"/>
      <c r="K24" s="42"/>
      <c r="L24" s="42"/>
      <c r="M24" s="42"/>
      <c r="N24" s="42"/>
      <c r="O24" s="49" t="s">
        <v>46</v>
      </c>
      <c r="P24" s="50"/>
      <c r="Q24" s="51" t="s">
        <v>47</v>
      </c>
      <c r="R24" s="50"/>
      <c r="S24" s="51" t="s">
        <v>48</v>
      </c>
      <c r="T24" s="52"/>
      <c r="U24" s="49" t="s">
        <v>46</v>
      </c>
      <c r="V24" s="50"/>
      <c r="W24" s="51" t="s">
        <v>47</v>
      </c>
      <c r="X24" s="50"/>
      <c r="Y24" s="51" t="s">
        <v>48</v>
      </c>
      <c r="Z24" s="52"/>
      <c r="AA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</row>
    <row r="25" ht="29.25" customHeight="1">
      <c r="A25" s="53"/>
      <c r="B25" s="54"/>
      <c r="C25" s="55"/>
      <c r="D25" s="55"/>
      <c r="E25" s="55"/>
      <c r="F25" s="55"/>
      <c r="G25" s="55"/>
      <c r="H25" s="55"/>
      <c r="I25" s="55"/>
      <c r="J25" s="56"/>
      <c r="K25" s="42"/>
      <c r="L25" s="42"/>
      <c r="M25" s="42"/>
      <c r="N25" s="42"/>
      <c r="O25" s="57" t="s">
        <v>49</v>
      </c>
      <c r="P25" s="50"/>
      <c r="Q25" s="58" t="s">
        <v>50</v>
      </c>
      <c r="R25" s="50"/>
      <c r="S25" s="59" t="s">
        <v>32</v>
      </c>
      <c r="T25" s="52"/>
      <c r="U25" s="60" t="s">
        <v>49</v>
      </c>
      <c r="V25" s="61"/>
      <c r="W25" s="62" t="s">
        <v>50</v>
      </c>
      <c r="X25" s="61"/>
      <c r="Y25" s="63" t="s">
        <v>32</v>
      </c>
      <c r="Z25" s="64"/>
      <c r="AA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</row>
    <row r="26" ht="19.5" customHeight="1">
      <c r="A26" s="47" t="s">
        <v>51</v>
      </c>
      <c r="B26" s="48" t="s">
        <v>52</v>
      </c>
      <c r="C26" s="45"/>
      <c r="D26" s="45"/>
      <c r="E26" s="45"/>
      <c r="F26" s="45"/>
      <c r="G26" s="45"/>
      <c r="H26" s="45"/>
      <c r="I26" s="45"/>
      <c r="J26" s="46"/>
      <c r="K26" s="42"/>
      <c r="L26" s="42"/>
      <c r="M26" s="42"/>
      <c r="N26" s="42"/>
      <c r="O26" s="57" t="s">
        <v>53</v>
      </c>
      <c r="P26" s="50"/>
      <c r="Q26" s="65"/>
      <c r="R26" s="50"/>
      <c r="S26" s="66"/>
      <c r="T26" s="52"/>
      <c r="U26" s="60" t="s">
        <v>53</v>
      </c>
      <c r="V26" s="61"/>
      <c r="W26" s="67">
        <v>6920.0</v>
      </c>
      <c r="X26" s="61"/>
      <c r="Y26" s="68">
        <v>6920.0</v>
      </c>
      <c r="Z26" s="64"/>
      <c r="AA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</row>
    <row r="27" ht="19.5" customHeight="1">
      <c r="A27" s="69"/>
      <c r="B27" s="70"/>
      <c r="J27" s="71"/>
      <c r="K27" s="42"/>
      <c r="L27" s="42"/>
      <c r="M27" s="42"/>
      <c r="N27" s="42"/>
      <c r="O27" s="57" t="s">
        <v>54</v>
      </c>
      <c r="P27" s="50"/>
      <c r="Q27" s="65">
        <v>6920.0</v>
      </c>
      <c r="R27" s="50"/>
      <c r="S27" s="66">
        <f>Q26+Q27</f>
        <v>6920</v>
      </c>
      <c r="T27" s="52"/>
      <c r="U27" s="60" t="s">
        <v>54</v>
      </c>
      <c r="V27" s="61"/>
      <c r="W27" s="67">
        <v>4440.0</v>
      </c>
      <c r="X27" s="61"/>
      <c r="Y27" s="68">
        <f>W26+W27</f>
        <v>11360</v>
      </c>
      <c r="Z27" s="64"/>
      <c r="AA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ht="19.5" customHeight="1">
      <c r="A28" s="69"/>
      <c r="B28" s="70"/>
      <c r="J28" s="71"/>
      <c r="K28" s="42"/>
      <c r="L28" s="42"/>
      <c r="M28" s="42"/>
      <c r="N28" s="42"/>
      <c r="O28" s="57" t="s">
        <v>55</v>
      </c>
      <c r="P28" s="50"/>
      <c r="Q28" s="65">
        <v>4440.0</v>
      </c>
      <c r="R28" s="50"/>
      <c r="S28" s="66">
        <f>Q26+Q27+Q28</f>
        <v>11360</v>
      </c>
      <c r="T28" s="52"/>
      <c r="U28" s="60" t="s">
        <v>55</v>
      </c>
      <c r="V28" s="61"/>
      <c r="W28" s="67">
        <v>4950.0</v>
      </c>
      <c r="X28" s="61"/>
      <c r="Y28" s="68">
        <f>W26+W27+W28</f>
        <v>16310</v>
      </c>
      <c r="Z28" s="64"/>
      <c r="AA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</row>
    <row r="29" ht="19.5" customHeight="1">
      <c r="A29" s="69"/>
      <c r="B29" s="70"/>
      <c r="J29" s="71"/>
      <c r="K29" s="42"/>
      <c r="L29" s="42"/>
      <c r="M29" s="42"/>
      <c r="N29" s="42"/>
      <c r="O29" s="57" t="s">
        <v>56</v>
      </c>
      <c r="P29" s="50"/>
      <c r="Q29" s="65">
        <v>4950.0</v>
      </c>
      <c r="R29" s="50"/>
      <c r="S29" s="66">
        <f>Q26+Q27+Q28+Q29</f>
        <v>16310</v>
      </c>
      <c r="T29" s="52"/>
      <c r="U29" s="60" t="s">
        <v>56</v>
      </c>
      <c r="V29" s="61"/>
      <c r="W29" s="67">
        <v>5450.0</v>
      </c>
      <c r="X29" s="61"/>
      <c r="Y29" s="68">
        <f>W26+W27+W28+W29</f>
        <v>21760</v>
      </c>
      <c r="Z29" s="64"/>
      <c r="AA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</row>
    <row r="30" ht="27.75" customHeight="1">
      <c r="A30" s="69"/>
      <c r="B30" s="70"/>
      <c r="J30" s="71"/>
      <c r="K30" s="42"/>
      <c r="L30" s="42"/>
      <c r="M30" s="42"/>
      <c r="N30" s="42"/>
      <c r="O30" s="72" t="s">
        <v>57</v>
      </c>
      <c r="P30" s="73"/>
      <c r="Q30" s="74">
        <v>5450.0</v>
      </c>
      <c r="R30" s="73"/>
      <c r="S30" s="75">
        <f>Q26+Q27+Q28+Q29+Q30</f>
        <v>21760</v>
      </c>
      <c r="T30" s="76"/>
      <c r="U30" s="77" t="s">
        <v>57</v>
      </c>
      <c r="V30" s="78"/>
      <c r="W30" s="79">
        <v>5450.0</v>
      </c>
      <c r="X30" s="78"/>
      <c r="Y30" s="80">
        <f>W26+W27+W28+W29+W30</f>
        <v>27210</v>
      </c>
      <c r="Z30" s="81"/>
      <c r="AA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</row>
    <row r="31" ht="19.5" customHeight="1">
      <c r="A31" s="53"/>
      <c r="B31" s="54"/>
      <c r="C31" s="55"/>
      <c r="D31" s="55"/>
      <c r="E31" s="55"/>
      <c r="F31" s="55"/>
      <c r="G31" s="55"/>
      <c r="H31" s="55"/>
      <c r="I31" s="55"/>
      <c r="J31" s="56"/>
      <c r="K31" s="42"/>
      <c r="L31" s="42"/>
      <c r="M31" s="42"/>
      <c r="N31" s="42"/>
      <c r="O31" s="8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</row>
    <row r="32" ht="19.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42"/>
      <c r="L32" s="42"/>
      <c r="M32" s="42"/>
      <c r="N32" s="42"/>
      <c r="O32" s="82"/>
      <c r="P32" s="42"/>
      <c r="Q32" s="42"/>
      <c r="R32" s="42"/>
      <c r="S32" s="42"/>
      <c r="T32" s="42"/>
      <c r="U32" s="84" t="s">
        <v>58</v>
      </c>
      <c r="W32" s="85"/>
      <c r="X32" s="85"/>
      <c r="Y32" s="85"/>
      <c r="Z32" s="85"/>
      <c r="AA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</row>
    <row r="33" ht="19.5" customHeight="1">
      <c r="A33" s="86" t="s">
        <v>59</v>
      </c>
      <c r="K33" s="42"/>
      <c r="L33" s="42"/>
      <c r="M33" s="42"/>
      <c r="N33" s="42"/>
      <c r="O33" s="82"/>
      <c r="P33" s="42"/>
      <c r="Q33" s="42"/>
      <c r="R33" s="42"/>
      <c r="S33" s="42"/>
      <c r="T33" s="42"/>
      <c r="U33" s="85" t="s">
        <v>60</v>
      </c>
      <c r="V33" s="42"/>
      <c r="W33" s="42"/>
      <c r="X33" s="42"/>
      <c r="Y33" s="42"/>
      <c r="Z33" s="42"/>
      <c r="AA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</row>
    <row r="34" ht="19.5" customHeight="1">
      <c r="A34" s="87" t="s">
        <v>61</v>
      </c>
      <c r="B34" s="88"/>
      <c r="C34" s="89">
        <v>200.0</v>
      </c>
      <c r="D34" s="90" t="s">
        <v>62</v>
      </c>
      <c r="E34" s="91"/>
      <c r="F34" s="92">
        <v>120.0</v>
      </c>
      <c r="G34" s="90" t="s">
        <v>63</v>
      </c>
      <c r="H34" s="91"/>
      <c r="I34" s="93">
        <v>80.0</v>
      </c>
      <c r="J34" s="94"/>
      <c r="L34" s="42"/>
      <c r="M34" s="42"/>
      <c r="N34" s="42"/>
      <c r="O34" s="42"/>
      <c r="P34" s="42"/>
      <c r="Q34" s="42"/>
      <c r="R34" s="42"/>
      <c r="S34" s="42"/>
      <c r="T34" s="42"/>
      <c r="AA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</row>
    <row r="35" ht="19.5" customHeight="1">
      <c r="A35" s="95" t="s">
        <v>64</v>
      </c>
      <c r="B35" s="73"/>
      <c r="C35" s="96">
        <v>250.0</v>
      </c>
      <c r="D35" s="54"/>
      <c r="E35" s="97"/>
      <c r="F35" s="98"/>
      <c r="G35" s="54"/>
      <c r="H35" s="97"/>
      <c r="I35" s="99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AA35" s="85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</row>
    <row r="36" ht="19.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AA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</row>
    <row r="37" ht="19.5" customHeight="1">
      <c r="A37" s="83" t="s">
        <v>65</v>
      </c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</row>
    <row r="38" ht="19.5" customHeight="1">
      <c r="A38" s="47" t="s">
        <v>66</v>
      </c>
      <c r="B38" s="48" t="s">
        <v>67</v>
      </c>
      <c r="C38" s="45"/>
      <c r="D38" s="45"/>
      <c r="E38" s="45"/>
      <c r="F38" s="45"/>
      <c r="G38" s="45"/>
      <c r="H38" s="45"/>
      <c r="I38" s="45"/>
      <c r="J38" s="46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</row>
    <row r="39" ht="19.5" customHeight="1">
      <c r="A39" s="53"/>
      <c r="B39" s="54"/>
      <c r="C39" s="55"/>
      <c r="D39" s="55"/>
      <c r="E39" s="55"/>
      <c r="F39" s="55"/>
      <c r="G39" s="55"/>
      <c r="H39" s="55"/>
      <c r="I39" s="55"/>
      <c r="J39" s="56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</row>
    <row r="40" ht="19.5" customHeight="1">
      <c r="A40" s="100" t="s">
        <v>51</v>
      </c>
      <c r="B40" s="101" t="s">
        <v>68</v>
      </c>
      <c r="C40" s="102"/>
      <c r="D40" s="102"/>
      <c r="E40" s="102"/>
      <c r="F40" s="102"/>
      <c r="G40" s="102"/>
      <c r="H40" s="102"/>
      <c r="I40" s="102"/>
      <c r="J40" s="103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</row>
    <row r="41" ht="15.0" customHeight="1">
      <c r="A41" s="104"/>
      <c r="J41" s="105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</row>
    <row r="42" ht="15.0" customHeight="1">
      <c r="A42" s="106"/>
      <c r="B42" s="107"/>
      <c r="C42" s="107"/>
      <c r="D42" s="107"/>
      <c r="E42" s="107"/>
      <c r="F42" s="107"/>
      <c r="G42" s="107"/>
      <c r="H42" s="107"/>
      <c r="I42" s="107"/>
      <c r="J42" s="10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ht="15.0" customHeight="1">
      <c r="A43" s="109"/>
      <c r="B43" s="110"/>
      <c r="C43" s="110"/>
      <c r="D43" s="110"/>
      <c r="E43" s="110"/>
      <c r="F43" s="110"/>
      <c r="G43" s="110"/>
      <c r="H43" s="110"/>
      <c r="I43" s="110"/>
      <c r="J43" s="110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</row>
    <row r="44" ht="15.0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</row>
    <row r="45" ht="15.0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</row>
    <row r="46" ht="15.0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</row>
    <row r="47" ht="15.0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</row>
    <row r="48" ht="15.0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</row>
    <row r="49" ht="15.0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</row>
    <row r="50" ht="15.0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</row>
    <row r="51" ht="15.0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</row>
    <row r="52" ht="15.0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  <row r="53" ht="15.0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</row>
    <row r="54" ht="15.0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</row>
    <row r="55" ht="15.0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</row>
    <row r="56" ht="15.0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</row>
    <row r="57" ht="15.0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</row>
    <row r="58" ht="15.0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</row>
    <row r="59" ht="15.0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</row>
    <row r="60" ht="15.0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 ht="15.0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 ht="15.0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</row>
    <row r="63" ht="15.0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</row>
    <row r="64" ht="15.0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</row>
    <row r="65" ht="15.0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</row>
    <row r="66" ht="15.0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</row>
    <row r="67" ht="15.0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</row>
    <row r="68" ht="15.0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</row>
    <row r="69" ht="15.0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</row>
    <row r="70" ht="15.0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</row>
    <row r="71" ht="15.0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</row>
    <row r="72" ht="15.0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</row>
    <row r="73" ht="15.0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</row>
    <row r="74" ht="15.0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</row>
    <row r="75" ht="15.0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</row>
    <row r="76" ht="15.0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</row>
    <row r="77" ht="15.0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</row>
    <row r="78" ht="15.0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</row>
    <row r="79" ht="15.0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</row>
    <row r="80" ht="15.0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</row>
    <row r="81" ht="15.0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</row>
    <row r="82" ht="15.0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</row>
    <row r="83" ht="15.0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</row>
    <row r="84" ht="15.0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</row>
    <row r="85" ht="15.0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</row>
    <row r="86" ht="15.0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</row>
    <row r="87" ht="15.0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</row>
    <row r="88" ht="15.0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</row>
    <row r="89" ht="15.0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</row>
    <row r="90" ht="15.0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</row>
    <row r="91" ht="15.0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</row>
    <row r="92" ht="15.0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</row>
    <row r="93" ht="15.0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</row>
    <row r="94" ht="15.0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</row>
    <row r="95" ht="15.0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</row>
    <row r="96" ht="15.0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</row>
    <row r="97" ht="15.0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</row>
    <row r="98" ht="15.0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</row>
    <row r="99" ht="15.0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</row>
    <row r="100" ht="15.0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</row>
    <row r="101" ht="15.0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</row>
    <row r="102" ht="15.0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</row>
    <row r="103" ht="15.0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</row>
    <row r="104" ht="15.0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</row>
    <row r="105" ht="15.0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</row>
    <row r="106" ht="15.75" customHeight="1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5.75" customHeight="1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5.75" customHeight="1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5.75" customHeight="1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5.75" customHeight="1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5.75" customHeight="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5.75" customHeight="1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5.75" customHeight="1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5.75" customHeight="1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5.75" customHeight="1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5.75" customHeight="1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5.75" customHeight="1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5.75" customHeight="1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5.75" customHeight="1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5.75" customHeight="1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5.75" customHeight="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5.75" customHeight="1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5.75" customHeight="1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5.75" customHeight="1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5.75" customHeight="1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5.75" customHeight="1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5.75" customHeight="1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5.75" customHeight="1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5.75" customHeight="1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5.75" customHeight="1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5.75" customHeight="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5.75" customHeight="1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5.75" customHeight="1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5.75" customHeight="1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5.75" customHeight="1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5.75" customHeight="1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5.75" customHeight="1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5.75" customHeight="1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5.75" customHeight="1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5.75" customHeight="1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5.75" customHeight="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5.75" customHeight="1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5.75" customHeight="1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5.75" customHeight="1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5.75" customHeight="1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5.75" customHeight="1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5.75" customHeight="1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5.75" customHeight="1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5.75" customHeight="1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5.75" customHeight="1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5.75" customHeight="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5.75" customHeight="1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5.75" customHeight="1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5.75" customHeight="1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5.75" customHeight="1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5.75" customHeight="1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5.75" customHeight="1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5.75" customHeight="1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5.75" customHeight="1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5.75" customHeight="1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5.75" customHeight="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5.75" customHeight="1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5.75" customHeight="1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5.75" customHeight="1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5.75" customHeight="1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5.75" customHeight="1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5.75" customHeight="1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5.75" customHeight="1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5.75" customHeight="1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5.75" customHeight="1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5.75" customHeight="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5.75" customHeight="1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5.75" customHeight="1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5.75" customHeight="1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5.75" customHeight="1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5.75" customHeight="1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5.75" customHeight="1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5.75" customHeight="1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5.75" customHeight="1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5.75" customHeight="1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5.75" customHeight="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5.75" customHeight="1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5.75" customHeight="1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5.75" customHeight="1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5.75" customHeight="1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5.75" customHeight="1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5.75" customHeight="1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5.75" customHeight="1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5.75" customHeight="1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5.75" customHeight="1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5.75" customHeight="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5.75" customHeight="1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5.75" customHeight="1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5.75" customHeight="1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5.75" customHeight="1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5.75" customHeight="1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5.75" customHeight="1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5.75" customHeight="1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5.75" customHeight="1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5.75" customHeight="1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5.75" customHeight="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5.75" customHeight="1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5.75" customHeight="1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5.75" customHeight="1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5.75" customHeight="1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5.75" customHeight="1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5.75" customHeight="1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5.75" customHeight="1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5.75" customHeight="1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5.75" customHeight="1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5.75" customHeight="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5.75" customHeight="1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5.75" customHeight="1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5.75" customHeight="1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5.75" customHeight="1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5.75" customHeight="1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5.75" customHeight="1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5.75" customHeight="1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5.75" customHeight="1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5.75" customHeight="1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5.75" customHeight="1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5.75" customHeight="1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5.75" customHeight="1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5.75" customHeight="1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5.75" customHeight="1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5.75" customHeight="1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5.75" customHeight="1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5.75" customHeight="1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5.75" customHeight="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5.75" customHeight="1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5.75" customHeight="1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5.75" customHeight="1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5.75" customHeight="1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5.75" customHeight="1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5.75" customHeight="1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5.75" customHeight="1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5.75" customHeight="1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5.75" customHeight="1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5.75" customHeight="1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5.75" customHeight="1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5.75" customHeight="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5.75" customHeight="1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5.75" customHeight="1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5.75" customHeight="1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5.75" customHeight="1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5.75" customHeight="1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5.75" customHeight="1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5.75" customHeight="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5.75" customHeight="1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5.75" customHeight="1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5.75" customHeight="1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5.75" customHeight="1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5.75" customHeight="1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5.75" customHeight="1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 ht="15.75" customHeight="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r="1002" ht="15.75" customHeight="1">
      <c r="A1002" s="38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r="1003" ht="15.75" customHeight="1">
      <c r="A1003" s="38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</row>
  </sheetData>
  <mergeCells count="66">
    <mergeCell ref="A11:A21"/>
    <mergeCell ref="A24:A25"/>
    <mergeCell ref="A26:A31"/>
    <mergeCell ref="O23:T23"/>
    <mergeCell ref="O24:P24"/>
    <mergeCell ref="Q24:R24"/>
    <mergeCell ref="S24:T24"/>
    <mergeCell ref="U24:V24"/>
    <mergeCell ref="W24:X24"/>
    <mergeCell ref="A1:Z7"/>
    <mergeCell ref="AD9:AH9"/>
    <mergeCell ref="AJ9:AN9"/>
    <mergeCell ref="A10:Z10"/>
    <mergeCell ref="A23:J23"/>
    <mergeCell ref="U23:Z23"/>
    <mergeCell ref="Y24:Z24"/>
    <mergeCell ref="O25:P25"/>
    <mergeCell ref="O26:P26"/>
    <mergeCell ref="O30:P30"/>
    <mergeCell ref="Q30:R30"/>
    <mergeCell ref="S30:T30"/>
    <mergeCell ref="Q26:R26"/>
    <mergeCell ref="S26:T26"/>
    <mergeCell ref="U26:V26"/>
    <mergeCell ref="W26:X26"/>
    <mergeCell ref="W29:X29"/>
    <mergeCell ref="Y29:Z29"/>
    <mergeCell ref="U30:V30"/>
    <mergeCell ref="W30:X30"/>
    <mergeCell ref="Y30:Z30"/>
    <mergeCell ref="Q25:R25"/>
    <mergeCell ref="O27:P27"/>
    <mergeCell ref="Q27:R27"/>
    <mergeCell ref="B24:J25"/>
    <mergeCell ref="S25:T25"/>
    <mergeCell ref="U25:V25"/>
    <mergeCell ref="W25:X25"/>
    <mergeCell ref="Y25:Z25"/>
    <mergeCell ref="B26:J31"/>
    <mergeCell ref="Y26:Z26"/>
    <mergeCell ref="A35:B35"/>
    <mergeCell ref="A38:A39"/>
    <mergeCell ref="A40:A42"/>
    <mergeCell ref="B38:J39"/>
    <mergeCell ref="B40:J42"/>
    <mergeCell ref="A33:J33"/>
    <mergeCell ref="A34:B34"/>
    <mergeCell ref="D34:E35"/>
    <mergeCell ref="F34:F35"/>
    <mergeCell ref="G34:H35"/>
    <mergeCell ref="I34:I35"/>
    <mergeCell ref="A37:J37"/>
    <mergeCell ref="S27:T27"/>
    <mergeCell ref="U27:V27"/>
    <mergeCell ref="W27:X27"/>
    <mergeCell ref="Y27:Z27"/>
    <mergeCell ref="O28:P28"/>
    <mergeCell ref="Q28:R28"/>
    <mergeCell ref="S28:T28"/>
    <mergeCell ref="U28:V28"/>
    <mergeCell ref="W28:X28"/>
    <mergeCell ref="Y28:Z28"/>
    <mergeCell ref="O29:P29"/>
    <mergeCell ref="Q29:R29"/>
    <mergeCell ref="S29:T29"/>
    <mergeCell ref="U29:V29"/>
  </mergeCells>
  <printOptions/>
  <pageMargins bottom="0.75" footer="0.0" header="0.0" left="0.25" right="0.25" top="0.75"/>
  <pageSetup fitToHeight="0" paperSize="1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25.88"/>
    <col customWidth="1" min="3" max="26" width="10.63"/>
    <col customWidth="1" min="28" max="28" width="9.0"/>
    <col customWidth="1" min="29" max="29" width="1.13"/>
    <col customWidth="1" min="30" max="30" width="17.88"/>
    <col customWidth="1" min="31" max="40" width="9.0"/>
  </cols>
  <sheetData>
    <row r="1" ht="15.0" customHeight="1">
      <c r="A1" s="1" t="s">
        <v>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.0" customHeight="1"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5.0" customHeight="1"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5.0" customHeight="1"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8.25" customHeight="1"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6.0" hidden="1" customHeight="1"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15.0" hidden="1" customHeight="1"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15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24.0" customHeight="1">
      <c r="A9" s="9"/>
      <c r="B9" s="10" t="s">
        <v>1</v>
      </c>
      <c r="C9" s="11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7</v>
      </c>
      <c r="I9" s="11" t="s">
        <v>8</v>
      </c>
      <c r="J9" s="11" t="s">
        <v>9</v>
      </c>
      <c r="K9" s="11" t="s">
        <v>10</v>
      </c>
      <c r="L9" s="11" t="s">
        <v>11</v>
      </c>
      <c r="M9" s="11" t="s">
        <v>12</v>
      </c>
      <c r="N9" s="11" t="s">
        <v>13</v>
      </c>
      <c r="O9" s="11" t="s">
        <v>14</v>
      </c>
      <c r="P9" s="11" t="s">
        <v>15</v>
      </c>
      <c r="Q9" s="11" t="s">
        <v>16</v>
      </c>
      <c r="R9" s="11" t="s">
        <v>17</v>
      </c>
      <c r="S9" s="11" t="s">
        <v>18</v>
      </c>
      <c r="T9" s="11" t="s">
        <v>19</v>
      </c>
      <c r="U9" s="11" t="s">
        <v>20</v>
      </c>
      <c r="V9" s="11" t="s">
        <v>21</v>
      </c>
      <c r="W9" s="11" t="s">
        <v>22</v>
      </c>
      <c r="X9" s="11" t="s">
        <v>23</v>
      </c>
      <c r="Y9" s="11" t="s">
        <v>24</v>
      </c>
      <c r="Z9" s="12" t="s">
        <v>25</v>
      </c>
      <c r="AA9" s="13"/>
      <c r="AB9" s="13"/>
      <c r="AC9" s="13"/>
      <c r="AD9" s="14" t="s">
        <v>26</v>
      </c>
      <c r="AE9" s="15"/>
      <c r="AF9" s="15"/>
      <c r="AG9" s="15"/>
      <c r="AH9" s="15"/>
      <c r="AI9" s="13"/>
      <c r="AJ9" s="14" t="s">
        <v>27</v>
      </c>
      <c r="AK9" s="15"/>
      <c r="AL9" s="15"/>
      <c r="AM9" s="15"/>
      <c r="AN9" s="15"/>
    </row>
    <row r="10" ht="4.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24.0" customHeight="1">
      <c r="A11" s="111" t="s">
        <v>69</v>
      </c>
      <c r="B11" s="112" t="s">
        <v>29</v>
      </c>
      <c r="C11" s="113">
        <v>7800.0</v>
      </c>
      <c r="D11" s="113">
        <v>7800.0</v>
      </c>
      <c r="E11" s="113">
        <v>7800.0</v>
      </c>
      <c r="F11" s="113">
        <v>7800.0</v>
      </c>
      <c r="G11" s="113">
        <v>7800.0</v>
      </c>
      <c r="H11" s="113">
        <v>7800.0</v>
      </c>
      <c r="I11" s="113">
        <v>7800.0</v>
      </c>
      <c r="J11" s="113">
        <v>7800.0</v>
      </c>
      <c r="K11" s="113">
        <v>7800.0</v>
      </c>
      <c r="L11" s="113">
        <v>7800.0</v>
      </c>
      <c r="M11" s="113">
        <v>7800.0</v>
      </c>
      <c r="N11" s="113">
        <v>7800.0</v>
      </c>
      <c r="O11" s="113">
        <v>7800.0</v>
      </c>
      <c r="P11" s="113">
        <v>7800.0</v>
      </c>
      <c r="Q11" s="113">
        <v>7800.0</v>
      </c>
      <c r="R11" s="113">
        <v>7800.0</v>
      </c>
      <c r="S11" s="113">
        <v>7800.0</v>
      </c>
      <c r="T11" s="113">
        <v>7800.0</v>
      </c>
      <c r="U11" s="113">
        <v>7800.0</v>
      </c>
      <c r="V11" s="113">
        <v>7800.0</v>
      </c>
      <c r="W11" s="113">
        <v>7800.0</v>
      </c>
      <c r="X11" s="113">
        <v>7800.0</v>
      </c>
      <c r="Y11" s="113">
        <v>7800.0</v>
      </c>
      <c r="Z11" s="113">
        <v>7800.0</v>
      </c>
      <c r="AA11" s="22"/>
      <c r="AB11" s="2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24.0" customHeight="1">
      <c r="A12" s="23"/>
      <c r="B12" s="114" t="s">
        <v>30</v>
      </c>
      <c r="C12" s="113">
        <v>4500.0</v>
      </c>
      <c r="D12" s="113">
        <v>4500.0</v>
      </c>
      <c r="E12" s="113">
        <v>4500.0</v>
      </c>
      <c r="F12" s="113">
        <v>4500.0</v>
      </c>
      <c r="G12" s="113">
        <v>4500.0</v>
      </c>
      <c r="H12" s="113">
        <v>4500.0</v>
      </c>
      <c r="I12" s="113">
        <v>4500.0</v>
      </c>
      <c r="J12" s="113">
        <v>4500.0</v>
      </c>
      <c r="K12" s="113">
        <v>4500.0</v>
      </c>
      <c r="L12" s="113">
        <v>4500.0</v>
      </c>
      <c r="M12" s="113">
        <v>4500.0</v>
      </c>
      <c r="N12" s="113">
        <v>4500.0</v>
      </c>
      <c r="O12" s="113">
        <v>4500.0</v>
      </c>
      <c r="P12" s="113">
        <v>4500.0</v>
      </c>
      <c r="Q12" s="113">
        <v>4500.0</v>
      </c>
      <c r="R12" s="113">
        <v>4500.0</v>
      </c>
      <c r="S12" s="113">
        <v>4500.0</v>
      </c>
      <c r="T12" s="113">
        <v>4500.0</v>
      </c>
      <c r="U12" s="113">
        <v>4500.0</v>
      </c>
      <c r="V12" s="113">
        <v>4500.0</v>
      </c>
      <c r="W12" s="113">
        <v>4500.0</v>
      </c>
      <c r="X12" s="113">
        <v>4500.0</v>
      </c>
      <c r="Y12" s="113">
        <v>4500.0</v>
      </c>
      <c r="Z12" s="113">
        <v>4500.0</v>
      </c>
      <c r="AA12" s="22"/>
      <c r="AB12" s="2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4.0" customHeight="1">
      <c r="A13" s="23"/>
      <c r="B13" s="112" t="s">
        <v>31</v>
      </c>
      <c r="C13" s="115" t="s">
        <v>32</v>
      </c>
      <c r="D13" s="115" t="s">
        <v>32</v>
      </c>
      <c r="E13" s="115" t="s">
        <v>32</v>
      </c>
      <c r="F13" s="115" t="s">
        <v>32</v>
      </c>
      <c r="G13" s="115" t="s">
        <v>32</v>
      </c>
      <c r="H13" s="115" t="s">
        <v>32</v>
      </c>
      <c r="I13" s="115" t="s">
        <v>32</v>
      </c>
      <c r="J13" s="115" t="s">
        <v>32</v>
      </c>
      <c r="K13" s="116">
        <v>4000.0</v>
      </c>
      <c r="L13" s="116">
        <v>4000.0</v>
      </c>
      <c r="M13" s="116">
        <v>4000.0</v>
      </c>
      <c r="N13" s="116">
        <v>4000.0</v>
      </c>
      <c r="O13" s="116">
        <v>4000.0</v>
      </c>
      <c r="P13" s="116">
        <v>4000.0</v>
      </c>
      <c r="Q13" s="116">
        <v>4000.0</v>
      </c>
      <c r="R13" s="116">
        <v>4000.0</v>
      </c>
      <c r="S13" s="116">
        <v>4000.0</v>
      </c>
      <c r="T13" s="116">
        <v>4000.0</v>
      </c>
      <c r="U13" s="116">
        <v>4000.0</v>
      </c>
      <c r="V13" s="116">
        <v>4000.0</v>
      </c>
      <c r="W13" s="116">
        <v>4000.0</v>
      </c>
      <c r="X13" s="116">
        <v>4000.0</v>
      </c>
      <c r="Y13" s="116">
        <v>4000.0</v>
      </c>
      <c r="Z13" s="116">
        <v>4000.0</v>
      </c>
      <c r="AA13" s="22"/>
      <c r="AB13" s="2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4.0" customHeight="1">
      <c r="A14" s="23"/>
      <c r="B14" s="112" t="s">
        <v>33</v>
      </c>
      <c r="C14" s="117">
        <v>400.0</v>
      </c>
      <c r="D14" s="117">
        <v>400.0</v>
      </c>
      <c r="E14" s="117">
        <v>400.0</v>
      </c>
      <c r="F14" s="117">
        <v>400.0</v>
      </c>
      <c r="G14" s="117">
        <v>400.0</v>
      </c>
      <c r="H14" s="117">
        <v>400.0</v>
      </c>
      <c r="I14" s="117">
        <v>400.0</v>
      </c>
      <c r="J14" s="117">
        <v>400.0</v>
      </c>
      <c r="K14" s="117">
        <v>400.0</v>
      </c>
      <c r="L14" s="117">
        <v>400.0</v>
      </c>
      <c r="M14" s="117">
        <v>400.0</v>
      </c>
      <c r="N14" s="117">
        <v>400.0</v>
      </c>
      <c r="O14" s="117">
        <v>400.0</v>
      </c>
      <c r="P14" s="117">
        <v>400.0</v>
      </c>
      <c r="Q14" s="117">
        <v>400.0</v>
      </c>
      <c r="R14" s="117">
        <v>400.0</v>
      </c>
      <c r="S14" s="117">
        <v>400.0</v>
      </c>
      <c r="T14" s="117">
        <v>400.0</v>
      </c>
      <c r="U14" s="117">
        <v>400.0</v>
      </c>
      <c r="V14" s="117">
        <v>400.0</v>
      </c>
      <c r="W14" s="117">
        <v>400.0</v>
      </c>
      <c r="X14" s="117">
        <v>400.0</v>
      </c>
      <c r="Y14" s="117">
        <v>400.0</v>
      </c>
      <c r="Z14" s="117">
        <v>400.0</v>
      </c>
      <c r="AA14" s="22"/>
      <c r="AB14" s="2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24.0" customHeight="1">
      <c r="A15" s="23"/>
      <c r="B15" s="112" t="s">
        <v>34</v>
      </c>
      <c r="C15" s="118"/>
      <c r="D15" s="118"/>
      <c r="E15" s="118"/>
      <c r="F15" s="118"/>
      <c r="G15" s="118"/>
      <c r="H15" s="118"/>
      <c r="I15" s="118"/>
      <c r="J15" s="118"/>
      <c r="K15" s="29">
        <v>6920.0</v>
      </c>
      <c r="L15" s="29">
        <v>6920.0</v>
      </c>
      <c r="M15" s="29">
        <v>6920.0</v>
      </c>
      <c r="N15" s="29">
        <v>6920.0</v>
      </c>
      <c r="O15" s="29">
        <v>11360.0</v>
      </c>
      <c r="P15" s="29">
        <v>11360.0</v>
      </c>
      <c r="Q15" s="29">
        <v>11360.0</v>
      </c>
      <c r="R15" s="29">
        <v>11360.0</v>
      </c>
      <c r="S15" s="29">
        <v>16310.0</v>
      </c>
      <c r="T15" s="29">
        <v>16310.0</v>
      </c>
      <c r="U15" s="29">
        <v>16310.0</v>
      </c>
      <c r="V15" s="29">
        <v>16310.0</v>
      </c>
      <c r="W15" s="29">
        <v>21760.0</v>
      </c>
      <c r="X15" s="29">
        <v>21760.0</v>
      </c>
      <c r="Y15" s="29">
        <v>21760.0</v>
      </c>
      <c r="Z15" s="30">
        <v>21760.0</v>
      </c>
      <c r="AA15" s="22"/>
      <c r="AB15" s="2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4.0" customHeight="1">
      <c r="A16" s="23"/>
      <c r="B16" s="112" t="s">
        <v>35</v>
      </c>
      <c r="C16" s="119">
        <v>450.0</v>
      </c>
      <c r="D16" s="119">
        <v>650.0</v>
      </c>
      <c r="E16" s="119">
        <v>850.0</v>
      </c>
      <c r="F16" s="119">
        <v>1000.0</v>
      </c>
      <c r="G16" s="119">
        <v>1250.0</v>
      </c>
      <c r="H16" s="119">
        <f t="shared" ref="H16:Z16" si="1">G16+250</f>
        <v>1500</v>
      </c>
      <c r="I16" s="119">
        <f t="shared" si="1"/>
        <v>1750</v>
      </c>
      <c r="J16" s="119">
        <f t="shared" si="1"/>
        <v>2000</v>
      </c>
      <c r="K16" s="119">
        <f t="shared" si="1"/>
        <v>2250</v>
      </c>
      <c r="L16" s="119">
        <f t="shared" si="1"/>
        <v>2500</v>
      </c>
      <c r="M16" s="119">
        <f t="shared" si="1"/>
        <v>2750</v>
      </c>
      <c r="N16" s="119">
        <f t="shared" si="1"/>
        <v>3000</v>
      </c>
      <c r="O16" s="119">
        <f t="shared" si="1"/>
        <v>3250</v>
      </c>
      <c r="P16" s="119">
        <f t="shared" si="1"/>
        <v>3500</v>
      </c>
      <c r="Q16" s="119">
        <f t="shared" si="1"/>
        <v>3750</v>
      </c>
      <c r="R16" s="119">
        <f t="shared" si="1"/>
        <v>4000</v>
      </c>
      <c r="S16" s="119">
        <f t="shared" si="1"/>
        <v>4250</v>
      </c>
      <c r="T16" s="119">
        <f t="shared" si="1"/>
        <v>4500</v>
      </c>
      <c r="U16" s="119">
        <f t="shared" si="1"/>
        <v>4750</v>
      </c>
      <c r="V16" s="119">
        <f t="shared" si="1"/>
        <v>5000</v>
      </c>
      <c r="W16" s="119">
        <f t="shared" si="1"/>
        <v>5250</v>
      </c>
      <c r="X16" s="119">
        <f t="shared" si="1"/>
        <v>5500</v>
      </c>
      <c r="Y16" s="119">
        <f t="shared" si="1"/>
        <v>5750</v>
      </c>
      <c r="Z16" s="119">
        <f t="shared" si="1"/>
        <v>6000</v>
      </c>
      <c r="AA16" s="22"/>
      <c r="AB16" s="2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30.0" customHeight="1">
      <c r="A17" s="23"/>
      <c r="B17" s="114" t="s">
        <v>70</v>
      </c>
      <c r="C17" s="120">
        <v>2000.0</v>
      </c>
      <c r="D17" s="120">
        <v>3000.0</v>
      </c>
      <c r="E17" s="120">
        <v>4000.0</v>
      </c>
      <c r="F17" s="120">
        <v>5000.0</v>
      </c>
      <c r="G17" s="120">
        <v>6000.0</v>
      </c>
      <c r="H17" s="120">
        <v>7000.0</v>
      </c>
      <c r="I17" s="120">
        <v>8000.0</v>
      </c>
      <c r="J17" s="120">
        <v>9000.0</v>
      </c>
      <c r="K17" s="120">
        <v>10000.0</v>
      </c>
      <c r="L17" s="120">
        <v>11000.0</v>
      </c>
      <c r="M17" s="120">
        <v>12000.0</v>
      </c>
      <c r="N17" s="120">
        <v>13000.0</v>
      </c>
      <c r="O17" s="120">
        <v>14000.0</v>
      </c>
      <c r="P17" s="120">
        <v>15000.0</v>
      </c>
      <c r="Q17" s="120">
        <v>16000.0</v>
      </c>
      <c r="R17" s="120">
        <v>17000.0</v>
      </c>
      <c r="S17" s="120">
        <v>18000.0</v>
      </c>
      <c r="T17" s="120">
        <v>19000.0</v>
      </c>
      <c r="U17" s="120">
        <v>20000.0</v>
      </c>
      <c r="V17" s="120">
        <v>21000.0</v>
      </c>
      <c r="W17" s="120">
        <v>22000.0</v>
      </c>
      <c r="X17" s="120">
        <v>23000.0</v>
      </c>
      <c r="Y17" s="120">
        <v>24000.0</v>
      </c>
      <c r="Z17" s="120">
        <v>25000.0</v>
      </c>
      <c r="AA17" s="22"/>
      <c r="AB17" s="2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24.0" customHeight="1">
      <c r="A18" s="23"/>
      <c r="B18" s="112" t="s">
        <v>37</v>
      </c>
      <c r="C18" s="121">
        <v>2000.0</v>
      </c>
      <c r="D18" s="121">
        <v>2000.0</v>
      </c>
      <c r="E18" s="121">
        <v>3000.0</v>
      </c>
      <c r="F18" s="121">
        <v>3000.0</v>
      </c>
      <c r="G18" s="121">
        <v>3000.0</v>
      </c>
      <c r="H18" s="121">
        <v>3000.0</v>
      </c>
      <c r="I18" s="121">
        <v>3000.0</v>
      </c>
      <c r="J18" s="121">
        <v>4000.0</v>
      </c>
      <c r="K18" s="121">
        <v>4000.0</v>
      </c>
      <c r="L18" s="121">
        <v>4000.0</v>
      </c>
      <c r="M18" s="121">
        <v>4000.0</v>
      </c>
      <c r="N18" s="121">
        <v>5000.0</v>
      </c>
      <c r="O18" s="121">
        <v>5000.0</v>
      </c>
      <c r="P18" s="121">
        <v>5000.0</v>
      </c>
      <c r="Q18" s="121">
        <v>5000.0</v>
      </c>
      <c r="R18" s="121">
        <v>5000.0</v>
      </c>
      <c r="S18" s="121">
        <v>5000.0</v>
      </c>
      <c r="T18" s="121">
        <v>5000.0</v>
      </c>
      <c r="U18" s="121">
        <v>5000.0</v>
      </c>
      <c r="V18" s="121">
        <v>5000.0</v>
      </c>
      <c r="W18" s="121">
        <v>5000.0</v>
      </c>
      <c r="X18" s="121">
        <v>5000.0</v>
      </c>
      <c r="Y18" s="121">
        <v>5000.0</v>
      </c>
      <c r="Z18" s="121">
        <v>5000.0</v>
      </c>
      <c r="AA18" s="22"/>
      <c r="AB18" s="2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4.0" customHeight="1">
      <c r="A19" s="23"/>
      <c r="B19" s="114" t="s">
        <v>38</v>
      </c>
      <c r="C19" s="122">
        <v>550.0</v>
      </c>
      <c r="D19" s="123">
        <f>C19*2</f>
        <v>1100</v>
      </c>
      <c r="E19" s="123">
        <f>C19*3</f>
        <v>1650</v>
      </c>
      <c r="F19" s="123">
        <f>C19*4</f>
        <v>2200</v>
      </c>
      <c r="G19" s="123">
        <f>C19*5</f>
        <v>2750</v>
      </c>
      <c r="H19" s="123">
        <f>C19*6</f>
        <v>3300</v>
      </c>
      <c r="I19" s="123">
        <f>C19*7</f>
        <v>3850</v>
      </c>
      <c r="J19" s="123">
        <f>C19*8</f>
        <v>4400</v>
      </c>
      <c r="K19" s="123">
        <f>C19*9</f>
        <v>4950</v>
      </c>
      <c r="L19" s="123">
        <f>C19*10</f>
        <v>5500</v>
      </c>
      <c r="M19" s="123">
        <f>C19*11</f>
        <v>6050</v>
      </c>
      <c r="N19" s="123">
        <f>C19*12</f>
        <v>6600</v>
      </c>
      <c r="O19" s="123">
        <f>C19*13</f>
        <v>7150</v>
      </c>
      <c r="P19" s="123">
        <f>C19*14</f>
        <v>7700</v>
      </c>
      <c r="Q19" s="123">
        <f>C19*15</f>
        <v>8250</v>
      </c>
      <c r="R19" s="123">
        <f>C19*16</f>
        <v>8800</v>
      </c>
      <c r="S19" s="123">
        <f>C19*17</f>
        <v>9350</v>
      </c>
      <c r="T19" s="123">
        <f>C19*18</f>
        <v>9900</v>
      </c>
      <c r="U19" s="123">
        <f>C19*19</f>
        <v>10450</v>
      </c>
      <c r="V19" s="123">
        <f>C19*20</f>
        <v>11000</v>
      </c>
      <c r="W19" s="123">
        <f>C19*21</f>
        <v>11550</v>
      </c>
      <c r="X19" s="123">
        <f>C19*22</f>
        <v>12100</v>
      </c>
      <c r="Y19" s="123">
        <f>C19*23</f>
        <v>12650</v>
      </c>
      <c r="Z19" s="124">
        <f>C19*24</f>
        <v>13200</v>
      </c>
      <c r="AA19" s="22"/>
      <c r="AB19" s="2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4.0" customHeight="1">
      <c r="A20" s="23"/>
      <c r="B20" s="114" t="s">
        <v>71</v>
      </c>
      <c r="C20" s="119">
        <v>1200.0</v>
      </c>
      <c r="D20" s="119">
        <v>1200.0</v>
      </c>
      <c r="E20" s="119">
        <v>1200.0</v>
      </c>
      <c r="F20" s="119">
        <v>1200.0</v>
      </c>
      <c r="G20" s="119">
        <v>1200.0</v>
      </c>
      <c r="H20" s="119">
        <v>1200.0</v>
      </c>
      <c r="I20" s="119">
        <v>1200.0</v>
      </c>
      <c r="J20" s="119">
        <v>1200.0</v>
      </c>
      <c r="K20" s="119">
        <v>1200.0</v>
      </c>
      <c r="L20" s="119">
        <v>1200.0</v>
      </c>
      <c r="M20" s="119">
        <v>1200.0</v>
      </c>
      <c r="N20" s="119">
        <v>1200.0</v>
      </c>
      <c r="O20" s="119">
        <v>1200.0</v>
      </c>
      <c r="P20" s="119">
        <v>1200.0</v>
      </c>
      <c r="Q20" s="119">
        <v>1200.0</v>
      </c>
      <c r="R20" s="119">
        <v>1200.0</v>
      </c>
      <c r="S20" s="119">
        <v>1200.0</v>
      </c>
      <c r="T20" s="119">
        <v>1200.0</v>
      </c>
      <c r="U20" s="119">
        <v>1200.0</v>
      </c>
      <c r="V20" s="119">
        <v>1200.0</v>
      </c>
      <c r="W20" s="119">
        <v>1200.0</v>
      </c>
      <c r="X20" s="119">
        <v>1200.0</v>
      </c>
      <c r="Y20" s="119">
        <v>1200.0</v>
      </c>
      <c r="Z20" s="119">
        <v>1200.0</v>
      </c>
      <c r="AA20" s="22"/>
      <c r="AB20" s="2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4.0" customHeight="1">
      <c r="A21" s="35"/>
      <c r="B21" s="36" t="s">
        <v>40</v>
      </c>
      <c r="C21" s="37">
        <f t="shared" ref="C21:Z21" si="2">SUM(C11:C20)</f>
        <v>18900</v>
      </c>
      <c r="D21" s="37">
        <f t="shared" si="2"/>
        <v>20650</v>
      </c>
      <c r="E21" s="37">
        <f t="shared" si="2"/>
        <v>23400</v>
      </c>
      <c r="F21" s="37">
        <f t="shared" si="2"/>
        <v>25100</v>
      </c>
      <c r="G21" s="37">
        <f t="shared" si="2"/>
        <v>26900</v>
      </c>
      <c r="H21" s="37">
        <f t="shared" si="2"/>
        <v>28700</v>
      </c>
      <c r="I21" s="37">
        <f t="shared" si="2"/>
        <v>30500</v>
      </c>
      <c r="J21" s="37">
        <f t="shared" si="2"/>
        <v>33300</v>
      </c>
      <c r="K21" s="37">
        <f t="shared" si="2"/>
        <v>46020</v>
      </c>
      <c r="L21" s="37">
        <f t="shared" si="2"/>
        <v>47820</v>
      </c>
      <c r="M21" s="37">
        <f t="shared" si="2"/>
        <v>49620</v>
      </c>
      <c r="N21" s="37">
        <f t="shared" si="2"/>
        <v>52420</v>
      </c>
      <c r="O21" s="37">
        <f t="shared" si="2"/>
        <v>58660</v>
      </c>
      <c r="P21" s="37">
        <f t="shared" si="2"/>
        <v>60460</v>
      </c>
      <c r="Q21" s="37">
        <f t="shared" si="2"/>
        <v>62260</v>
      </c>
      <c r="R21" s="37">
        <f t="shared" si="2"/>
        <v>64060</v>
      </c>
      <c r="S21" s="37">
        <f t="shared" si="2"/>
        <v>70810</v>
      </c>
      <c r="T21" s="37">
        <f t="shared" si="2"/>
        <v>72610</v>
      </c>
      <c r="U21" s="37">
        <f t="shared" si="2"/>
        <v>74410</v>
      </c>
      <c r="V21" s="37">
        <f t="shared" si="2"/>
        <v>76210</v>
      </c>
      <c r="W21" s="37">
        <f t="shared" si="2"/>
        <v>83460</v>
      </c>
      <c r="X21" s="37">
        <f t="shared" si="2"/>
        <v>85260</v>
      </c>
      <c r="Y21" s="37">
        <f t="shared" si="2"/>
        <v>87060</v>
      </c>
      <c r="Z21" s="37">
        <f t="shared" si="2"/>
        <v>88860</v>
      </c>
      <c r="AA21" s="125"/>
      <c r="AB21" s="125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</row>
    <row r="22" ht="15.75" customHeight="1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19.5" customHeight="1">
      <c r="A23" s="3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24.75" customHeight="1">
      <c r="A24" s="127" t="s">
        <v>41</v>
      </c>
      <c r="B24" s="128"/>
      <c r="C24" s="129"/>
      <c r="D24" s="129"/>
      <c r="E24" s="129"/>
      <c r="F24" s="129"/>
      <c r="G24" s="129"/>
      <c r="H24" s="129"/>
      <c r="I24" s="129"/>
      <c r="J24" s="130"/>
      <c r="K24" s="42"/>
      <c r="L24" s="42"/>
      <c r="M24" s="42"/>
      <c r="N24" s="42"/>
      <c r="O24" s="43" t="s">
        <v>42</v>
      </c>
      <c r="P24" s="40"/>
      <c r="Q24" s="40"/>
      <c r="R24" s="40"/>
      <c r="S24" s="40"/>
      <c r="T24" s="41"/>
      <c r="U24" s="44" t="s">
        <v>43</v>
      </c>
      <c r="V24" s="45"/>
      <c r="W24" s="45"/>
      <c r="X24" s="45"/>
      <c r="Y24" s="45"/>
      <c r="Z24" s="46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</row>
    <row r="25" ht="27.0" customHeight="1">
      <c r="A25" s="47" t="s">
        <v>44</v>
      </c>
      <c r="B25" s="131" t="s">
        <v>72</v>
      </c>
      <c r="C25" s="45"/>
      <c r="D25" s="45"/>
      <c r="E25" s="45"/>
      <c r="F25" s="45"/>
      <c r="G25" s="45"/>
      <c r="H25" s="45"/>
      <c r="I25" s="45"/>
      <c r="J25" s="46"/>
      <c r="K25" s="42"/>
      <c r="L25" s="42"/>
      <c r="M25" s="42"/>
      <c r="N25" s="42"/>
      <c r="O25" s="49" t="s">
        <v>46</v>
      </c>
      <c r="P25" s="50"/>
      <c r="Q25" s="51" t="s">
        <v>47</v>
      </c>
      <c r="R25" s="50"/>
      <c r="S25" s="51" t="s">
        <v>48</v>
      </c>
      <c r="T25" s="52"/>
      <c r="U25" s="49" t="s">
        <v>46</v>
      </c>
      <c r="V25" s="50"/>
      <c r="W25" s="51" t="s">
        <v>47</v>
      </c>
      <c r="X25" s="50"/>
      <c r="Y25" s="51" t="s">
        <v>48</v>
      </c>
      <c r="Z25" s="5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</row>
    <row r="26" ht="28.5" customHeight="1">
      <c r="A26" s="53"/>
      <c r="B26" s="54"/>
      <c r="C26" s="55"/>
      <c r="D26" s="55"/>
      <c r="E26" s="55"/>
      <c r="F26" s="55"/>
      <c r="G26" s="55"/>
      <c r="H26" s="55"/>
      <c r="I26" s="55"/>
      <c r="J26" s="56"/>
      <c r="K26" s="42"/>
      <c r="L26" s="42"/>
      <c r="M26" s="42"/>
      <c r="N26" s="42"/>
      <c r="O26" s="57" t="s">
        <v>49</v>
      </c>
      <c r="P26" s="50"/>
      <c r="Q26" s="58" t="s">
        <v>50</v>
      </c>
      <c r="R26" s="50"/>
      <c r="S26" s="59" t="s">
        <v>32</v>
      </c>
      <c r="T26" s="52"/>
      <c r="U26" s="60" t="s">
        <v>49</v>
      </c>
      <c r="V26" s="61"/>
      <c r="W26" s="62" t="s">
        <v>50</v>
      </c>
      <c r="X26" s="61"/>
      <c r="Y26" s="63" t="s">
        <v>32</v>
      </c>
      <c r="Z26" s="64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</row>
    <row r="27" ht="19.5" customHeight="1">
      <c r="A27" s="47" t="s">
        <v>51</v>
      </c>
      <c r="B27" s="48" t="s">
        <v>73</v>
      </c>
      <c r="C27" s="45"/>
      <c r="D27" s="45"/>
      <c r="E27" s="45"/>
      <c r="F27" s="45"/>
      <c r="G27" s="45"/>
      <c r="H27" s="45"/>
      <c r="I27" s="45"/>
      <c r="J27" s="46"/>
      <c r="K27" s="42"/>
      <c r="L27" s="42"/>
      <c r="M27" s="42"/>
      <c r="N27" s="42"/>
      <c r="O27" s="57" t="s">
        <v>53</v>
      </c>
      <c r="P27" s="50"/>
      <c r="Q27" s="65"/>
      <c r="R27" s="50"/>
      <c r="S27" s="66"/>
      <c r="T27" s="52"/>
      <c r="U27" s="60" t="s">
        <v>53</v>
      </c>
      <c r="V27" s="61"/>
      <c r="W27" s="67">
        <v>6920.0</v>
      </c>
      <c r="X27" s="61"/>
      <c r="Y27" s="68">
        <v>6920.0</v>
      </c>
      <c r="Z27" s="64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ht="19.5" customHeight="1">
      <c r="A28" s="69"/>
      <c r="B28" s="70"/>
      <c r="J28" s="71"/>
      <c r="K28" s="42"/>
      <c r="L28" s="42"/>
      <c r="M28" s="42"/>
      <c r="N28" s="42"/>
      <c r="O28" s="57" t="s">
        <v>54</v>
      </c>
      <c r="P28" s="50"/>
      <c r="Q28" s="65">
        <v>6920.0</v>
      </c>
      <c r="R28" s="50"/>
      <c r="S28" s="66">
        <f>Q27+Q28</f>
        <v>6920</v>
      </c>
      <c r="T28" s="52"/>
      <c r="U28" s="60" t="s">
        <v>54</v>
      </c>
      <c r="V28" s="61"/>
      <c r="W28" s="67">
        <v>4440.0</v>
      </c>
      <c r="X28" s="61"/>
      <c r="Y28" s="68">
        <f>W27+W28</f>
        <v>11360</v>
      </c>
      <c r="Z28" s="64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</row>
    <row r="29" ht="19.5" customHeight="1">
      <c r="A29" s="69"/>
      <c r="B29" s="70"/>
      <c r="J29" s="71"/>
      <c r="K29" s="42"/>
      <c r="L29" s="42"/>
      <c r="M29" s="42"/>
      <c r="N29" s="42"/>
      <c r="O29" s="57" t="s">
        <v>55</v>
      </c>
      <c r="P29" s="50"/>
      <c r="Q29" s="65">
        <v>4440.0</v>
      </c>
      <c r="R29" s="50"/>
      <c r="S29" s="66">
        <f>Q27+Q28+Q29</f>
        <v>11360</v>
      </c>
      <c r="T29" s="52"/>
      <c r="U29" s="60" t="s">
        <v>55</v>
      </c>
      <c r="V29" s="61"/>
      <c r="W29" s="67">
        <v>4950.0</v>
      </c>
      <c r="X29" s="61"/>
      <c r="Y29" s="68">
        <f>W27+W28+W29</f>
        <v>16310</v>
      </c>
      <c r="Z29" s="64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</row>
    <row r="30" ht="19.5" customHeight="1">
      <c r="A30" s="69"/>
      <c r="B30" s="70"/>
      <c r="J30" s="71"/>
      <c r="K30" s="42"/>
      <c r="L30" s="42"/>
      <c r="M30" s="42"/>
      <c r="N30" s="42"/>
      <c r="O30" s="57" t="s">
        <v>56</v>
      </c>
      <c r="P30" s="50"/>
      <c r="Q30" s="65">
        <v>4950.0</v>
      </c>
      <c r="R30" s="50"/>
      <c r="S30" s="66">
        <f>Q27+Q28+Q29+Q30</f>
        <v>16310</v>
      </c>
      <c r="T30" s="52"/>
      <c r="U30" s="60" t="s">
        <v>56</v>
      </c>
      <c r="V30" s="61"/>
      <c r="W30" s="67">
        <v>5450.0</v>
      </c>
      <c r="X30" s="61"/>
      <c r="Y30" s="68">
        <f>W27+W28+W29+W30</f>
        <v>21760</v>
      </c>
      <c r="Z30" s="64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</row>
    <row r="31" ht="19.5" customHeight="1">
      <c r="A31" s="69"/>
      <c r="B31" s="70"/>
      <c r="J31" s="71"/>
      <c r="K31" s="42"/>
      <c r="L31" s="42"/>
      <c r="M31" s="42"/>
      <c r="N31" s="42"/>
      <c r="O31" s="72" t="s">
        <v>57</v>
      </c>
      <c r="P31" s="73"/>
      <c r="Q31" s="74">
        <v>5450.0</v>
      </c>
      <c r="R31" s="73"/>
      <c r="S31" s="75">
        <f>Q27+Q28+Q29+Q30+Q31</f>
        <v>21760</v>
      </c>
      <c r="T31" s="76"/>
      <c r="U31" s="77" t="s">
        <v>57</v>
      </c>
      <c r="V31" s="78"/>
      <c r="W31" s="79">
        <v>5450.0</v>
      </c>
      <c r="X31" s="78"/>
      <c r="Y31" s="80">
        <f>W27+W28+W29+W30+W31</f>
        <v>27210</v>
      </c>
      <c r="Z31" s="81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</row>
    <row r="32" ht="19.5" customHeight="1">
      <c r="A32" s="53"/>
      <c r="B32" s="54"/>
      <c r="C32" s="55"/>
      <c r="D32" s="55"/>
      <c r="E32" s="55"/>
      <c r="F32" s="55"/>
      <c r="G32" s="55"/>
      <c r="H32" s="55"/>
      <c r="I32" s="55"/>
      <c r="J32" s="56"/>
      <c r="K32" s="42"/>
      <c r="L32" s="42"/>
      <c r="M32" s="42"/>
      <c r="N32" s="42"/>
      <c r="O32" s="8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</row>
    <row r="33" ht="19.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42"/>
      <c r="L33" s="42"/>
      <c r="M33" s="42"/>
      <c r="N33" s="42"/>
      <c r="O33" s="82"/>
      <c r="P33" s="42"/>
      <c r="Q33" s="42"/>
      <c r="R33" s="42"/>
      <c r="S33" s="42"/>
      <c r="T33" s="42"/>
      <c r="U33" s="84" t="s">
        <v>58</v>
      </c>
      <c r="W33" s="85"/>
      <c r="X33" s="85"/>
      <c r="Y33" s="85"/>
      <c r="Z33" s="85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</row>
    <row r="34" ht="19.5" customHeight="1">
      <c r="A34" s="86" t="s">
        <v>74</v>
      </c>
      <c r="K34" s="42"/>
      <c r="L34" s="42"/>
      <c r="M34" s="42"/>
      <c r="N34" s="42"/>
      <c r="O34" s="82"/>
      <c r="P34" s="42"/>
      <c r="Q34" s="42"/>
      <c r="R34" s="42"/>
      <c r="S34" s="42"/>
      <c r="T34" s="42"/>
      <c r="U34" s="85" t="s">
        <v>60</v>
      </c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</row>
    <row r="35" ht="19.5" customHeight="1">
      <c r="A35" s="87" t="s">
        <v>61</v>
      </c>
      <c r="B35" s="88"/>
      <c r="C35" s="89">
        <v>200.0</v>
      </c>
      <c r="D35" s="90" t="s">
        <v>62</v>
      </c>
      <c r="E35" s="91"/>
      <c r="F35" s="92">
        <v>120.0</v>
      </c>
      <c r="G35" s="90" t="s">
        <v>63</v>
      </c>
      <c r="H35" s="91"/>
      <c r="I35" s="93">
        <v>80.0</v>
      </c>
      <c r="L35" s="42"/>
      <c r="M35" s="42"/>
      <c r="N35" s="42"/>
      <c r="O35" s="8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</row>
    <row r="36" ht="19.5" customHeight="1">
      <c r="A36" s="95" t="s">
        <v>64</v>
      </c>
      <c r="B36" s="73"/>
      <c r="C36" s="96">
        <v>250.0</v>
      </c>
      <c r="D36" s="54"/>
      <c r="E36" s="97"/>
      <c r="F36" s="98"/>
      <c r="G36" s="54"/>
      <c r="H36" s="97"/>
      <c r="I36" s="99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</row>
    <row r="37" ht="19.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</row>
    <row r="38" ht="19.5" customHeight="1">
      <c r="A38" s="83" t="s">
        <v>65</v>
      </c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</row>
    <row r="39" ht="19.5" customHeight="1">
      <c r="A39" s="47" t="s">
        <v>66</v>
      </c>
      <c r="B39" s="48" t="s">
        <v>75</v>
      </c>
      <c r="C39" s="45"/>
      <c r="D39" s="45"/>
      <c r="E39" s="45"/>
      <c r="F39" s="45"/>
      <c r="G39" s="45"/>
      <c r="H39" s="45"/>
      <c r="I39" s="45"/>
      <c r="J39" s="46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</row>
    <row r="40" ht="19.5" customHeight="1">
      <c r="A40" s="53"/>
      <c r="B40" s="54"/>
      <c r="C40" s="55"/>
      <c r="D40" s="55"/>
      <c r="E40" s="55"/>
      <c r="F40" s="55"/>
      <c r="G40" s="55"/>
      <c r="H40" s="55"/>
      <c r="I40" s="55"/>
      <c r="J40" s="56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</row>
    <row r="41" ht="19.5" customHeight="1">
      <c r="A41" s="47" t="s">
        <v>51</v>
      </c>
      <c r="B41" s="132" t="s">
        <v>68</v>
      </c>
      <c r="C41" s="45"/>
      <c r="D41" s="45"/>
      <c r="E41" s="45"/>
      <c r="F41" s="45"/>
      <c r="G41" s="45"/>
      <c r="H41" s="45"/>
      <c r="I41" s="45"/>
      <c r="J41" s="46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</row>
    <row r="42" ht="19.5" customHeight="1">
      <c r="A42" s="69"/>
      <c r="J42" s="71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ht="19.5" customHeight="1">
      <c r="A43" s="53"/>
      <c r="B43" s="55"/>
      <c r="C43" s="55"/>
      <c r="D43" s="55"/>
      <c r="E43" s="55"/>
      <c r="F43" s="55"/>
      <c r="G43" s="55"/>
      <c r="H43" s="55"/>
      <c r="I43" s="55"/>
      <c r="J43" s="56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</row>
    <row r="44" ht="19.5" customHeight="1">
      <c r="A44" s="109"/>
      <c r="B44" s="110"/>
      <c r="C44" s="110"/>
      <c r="D44" s="110"/>
      <c r="E44" s="110"/>
      <c r="F44" s="110"/>
      <c r="G44" s="110"/>
      <c r="H44" s="110"/>
      <c r="I44" s="110"/>
      <c r="J44" s="110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</row>
    <row r="45" ht="19.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</row>
    <row r="46" ht="19.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</row>
    <row r="47" ht="19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</row>
    <row r="48" ht="15.0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</row>
    <row r="49" ht="15.0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</row>
    <row r="50" ht="15.0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</row>
    <row r="51" ht="15.0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</row>
    <row r="52" ht="15.0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  <row r="53" ht="15.0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</row>
    <row r="54" ht="15.0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</row>
    <row r="55" ht="15.0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</row>
    <row r="56" ht="15.0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</row>
    <row r="57" ht="15.0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</row>
    <row r="58" ht="15.0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</row>
    <row r="59" ht="15.0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</row>
    <row r="60" ht="15.0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 ht="15.0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 ht="15.0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</row>
    <row r="63" ht="15.0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</row>
    <row r="64" ht="15.0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</row>
    <row r="65" ht="15.0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</row>
    <row r="66" ht="15.0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</row>
    <row r="67" ht="15.0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</row>
    <row r="68" ht="15.0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</row>
    <row r="69" ht="15.0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</row>
    <row r="70" ht="15.0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</row>
    <row r="71" ht="15.0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</row>
    <row r="72" ht="15.0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</row>
    <row r="73" ht="15.0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</row>
    <row r="74" ht="15.0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</row>
    <row r="75" ht="15.0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</row>
    <row r="76" ht="15.0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</row>
    <row r="77" ht="15.0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</row>
    <row r="78" ht="15.0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</row>
    <row r="79" ht="15.0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</row>
    <row r="80" ht="15.0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</row>
    <row r="81" ht="15.0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</row>
    <row r="82" ht="15.0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</row>
    <row r="83" ht="15.0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</row>
    <row r="84" ht="15.0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</row>
    <row r="85" ht="15.0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</row>
    <row r="86" ht="15.0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</row>
    <row r="87" ht="15.0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</row>
    <row r="88" ht="15.0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</row>
    <row r="89" ht="15.0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</row>
    <row r="90" ht="15.0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</row>
    <row r="91" ht="15.0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</row>
    <row r="92" ht="15.0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</row>
    <row r="93" ht="15.0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</row>
    <row r="94" ht="15.0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</row>
    <row r="95" ht="15.0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</row>
    <row r="96" ht="15.0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</row>
    <row r="97" ht="15.0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</row>
    <row r="98" ht="15.0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</row>
    <row r="99" ht="15.0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</row>
    <row r="100" ht="15.0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</row>
    <row r="101" ht="15.0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</row>
    <row r="102" ht="15.0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</row>
    <row r="103" ht="15.0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</row>
    <row r="104" ht="15.0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</row>
    <row r="105" ht="15.0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</row>
    <row r="106" ht="15.0" customHeight="1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</row>
    <row r="107" ht="15.0" customHeight="1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</row>
    <row r="108" ht="15.0" customHeight="1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</row>
    <row r="109" ht="15.0" customHeight="1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</row>
    <row r="110" ht="15.0" customHeight="1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</row>
    <row r="111" ht="15.0" customHeight="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</row>
    <row r="112" ht="15.0" customHeight="1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</row>
    <row r="113" ht="15.75" customHeight="1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5.75" customHeight="1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5.75" customHeight="1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5.75" customHeight="1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5.75" customHeight="1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5.75" customHeight="1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5.75" customHeight="1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5.75" customHeight="1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5.75" customHeight="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5.75" customHeight="1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5.75" customHeight="1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5.75" customHeight="1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5.75" customHeight="1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5.75" customHeight="1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5.75" customHeight="1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5.75" customHeight="1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5.75" customHeight="1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5.75" customHeight="1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5.75" customHeight="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5.75" customHeight="1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5.75" customHeight="1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5.75" customHeight="1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5.75" customHeight="1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5.75" customHeight="1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5.75" customHeight="1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5.75" customHeight="1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5.75" customHeight="1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5.75" customHeight="1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5.75" customHeight="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5.75" customHeight="1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5.75" customHeight="1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5.75" customHeight="1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5.75" customHeight="1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5.75" customHeight="1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5.75" customHeight="1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5.75" customHeight="1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5.75" customHeight="1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5.75" customHeight="1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5.75" customHeight="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5.75" customHeight="1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5.75" customHeight="1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5.75" customHeight="1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5.75" customHeight="1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5.75" customHeight="1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5.75" customHeight="1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5.75" customHeight="1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5.75" customHeight="1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5.75" customHeight="1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5.75" customHeight="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5.75" customHeight="1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5.75" customHeight="1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5.75" customHeight="1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5.75" customHeight="1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5.75" customHeight="1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5.75" customHeight="1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5.75" customHeight="1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5.75" customHeight="1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5.75" customHeight="1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5.75" customHeight="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5.75" customHeight="1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5.75" customHeight="1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5.75" customHeight="1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5.75" customHeight="1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5.75" customHeight="1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5.75" customHeight="1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5.75" customHeight="1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5.75" customHeight="1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5.75" customHeight="1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5.75" customHeight="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5.75" customHeight="1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5.75" customHeight="1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5.75" customHeight="1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5.75" customHeight="1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5.75" customHeight="1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5.75" customHeight="1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5.75" customHeight="1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5.75" customHeight="1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5.75" customHeight="1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5.75" customHeight="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5.75" customHeight="1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5.75" customHeight="1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5.75" customHeight="1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5.75" customHeight="1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5.75" customHeight="1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5.75" customHeight="1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5.75" customHeight="1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5.75" customHeight="1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5.75" customHeight="1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5.75" customHeight="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5.75" customHeight="1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5.75" customHeight="1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5.75" customHeight="1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5.75" customHeight="1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5.75" customHeight="1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5.75" customHeight="1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5.75" customHeight="1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5.75" customHeight="1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5.75" customHeight="1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5.75" customHeight="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5.75" customHeight="1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5.75" customHeight="1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5.75" customHeight="1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5.75" customHeight="1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5.75" customHeight="1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5.75" customHeight="1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5.75" customHeight="1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5.75" customHeight="1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5.75" customHeight="1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5.75" customHeight="1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5.75" customHeight="1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5.75" customHeight="1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5.75" customHeight="1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5.75" customHeight="1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5.75" customHeight="1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5.75" customHeight="1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5.75" customHeight="1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5.75" customHeight="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5.75" customHeight="1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5.75" customHeight="1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5.75" customHeight="1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5.75" customHeight="1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5.75" customHeight="1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5.75" customHeight="1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5.75" customHeight="1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5.75" customHeight="1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5.75" customHeight="1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5.75" customHeight="1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5.75" customHeight="1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5.75" customHeight="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5.75" customHeight="1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5.75" customHeight="1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5.75" customHeight="1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5.75" customHeight="1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5.75" customHeight="1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5.75" customHeight="1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5.75" customHeight="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5.75" customHeight="1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5.75" customHeight="1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5.75" customHeight="1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5.75" customHeight="1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5.75" customHeight="1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5.75" customHeight="1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 ht="15.75" customHeight="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r="1002" ht="15.75" customHeight="1">
      <c r="A1002" s="38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</sheetData>
  <mergeCells count="65">
    <mergeCell ref="Q29:R29"/>
    <mergeCell ref="Q30:R30"/>
    <mergeCell ref="Q31:R31"/>
    <mergeCell ref="Q26:R26"/>
    <mergeCell ref="S26:T26"/>
    <mergeCell ref="Q27:R27"/>
    <mergeCell ref="S27:T27"/>
    <mergeCell ref="Q28:R28"/>
    <mergeCell ref="S28:T28"/>
    <mergeCell ref="S29:T29"/>
    <mergeCell ref="A36:B36"/>
    <mergeCell ref="A39:A40"/>
    <mergeCell ref="A41:A43"/>
    <mergeCell ref="B39:J40"/>
    <mergeCell ref="B41:J43"/>
    <mergeCell ref="A34:J34"/>
    <mergeCell ref="A35:B35"/>
    <mergeCell ref="D35:E36"/>
    <mergeCell ref="F35:F36"/>
    <mergeCell ref="G35:H36"/>
    <mergeCell ref="I35:I36"/>
    <mergeCell ref="A38:J38"/>
    <mergeCell ref="A1:Z8"/>
    <mergeCell ref="AD9:AH9"/>
    <mergeCell ref="AJ9:AN9"/>
    <mergeCell ref="A10:Z10"/>
    <mergeCell ref="A11:A21"/>
    <mergeCell ref="O24:T24"/>
    <mergeCell ref="U24:Z24"/>
    <mergeCell ref="A25:A26"/>
    <mergeCell ref="B25:J26"/>
    <mergeCell ref="Q25:R25"/>
    <mergeCell ref="S25:T25"/>
    <mergeCell ref="U25:V25"/>
    <mergeCell ref="W25:X25"/>
    <mergeCell ref="Y25:Z25"/>
    <mergeCell ref="Y26:Z26"/>
    <mergeCell ref="U28:V28"/>
    <mergeCell ref="U29:V29"/>
    <mergeCell ref="W29:X29"/>
    <mergeCell ref="Y29:Z29"/>
    <mergeCell ref="U30:V30"/>
    <mergeCell ref="W30:X30"/>
    <mergeCell ref="Y30:Z30"/>
    <mergeCell ref="U26:V26"/>
    <mergeCell ref="W26:X26"/>
    <mergeCell ref="U27:V27"/>
    <mergeCell ref="W27:X27"/>
    <mergeCell ref="Y27:Z27"/>
    <mergeCell ref="W28:X28"/>
    <mergeCell ref="Y28:Z28"/>
    <mergeCell ref="O30:P30"/>
    <mergeCell ref="O31:P31"/>
    <mergeCell ref="S30:T30"/>
    <mergeCell ref="S31:T31"/>
    <mergeCell ref="U31:V31"/>
    <mergeCell ref="W31:X31"/>
    <mergeCell ref="Y31:Z31"/>
    <mergeCell ref="O25:P25"/>
    <mergeCell ref="O26:P26"/>
    <mergeCell ref="A27:A32"/>
    <mergeCell ref="B27:J32"/>
    <mergeCell ref="O27:P27"/>
    <mergeCell ref="O28:P28"/>
    <mergeCell ref="O29:P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2022-11-22T04:54:50Z</dcterms:created>
  <dc:creator>flor bazan</dc:creator>
</cp:coreProperties>
</file>